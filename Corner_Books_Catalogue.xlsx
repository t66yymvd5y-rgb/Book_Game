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s" sheetId="1" state="visible" r:id="rId3"/>
    <sheet name="By genre" sheetId="2" state="visible" r:id="rId4"/>
    <sheet name="Notes" sheetId="3" state="visible" r:id="rId5"/>
  </sheets>
  <definedNames>
    <definedName function="false" hidden="true" localSheetId="0" name="_xlnm._FilterDatabase" vbProcedure="false">Books!$A$4:$N$127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39" authorId="0">
      <text>
        <r>
          <rPr>
            <sz val="10"/>
            <rFont val="Arial"/>
            <family val="2"/>
          </rPr>
          <t xml:space="preserve">Approximate date of composition, as shown in the game.</t>
        </r>
      </text>
    </comment>
    <comment ref="D79" authorId="0">
      <text>
        <r>
          <rPr>
            <sz val="10"/>
            <rFont val="Arial"/>
            <family val="2"/>
          </rPr>
          <t xml:space="preserve">Approximate date of composition, as shown in the game.</t>
        </r>
      </text>
    </comment>
    <comment ref="D109" authorId="0">
      <text>
        <r>
          <rPr>
            <sz val="10"/>
            <rFont val="Arial"/>
            <family val="2"/>
          </rPr>
          <t xml:space="preserve">Approximate date of composition, as shown in the game.</t>
        </r>
      </text>
    </comment>
  </commentList>
</comments>
</file>

<file path=xl/sharedStrings.xml><?xml version="1.0" encoding="utf-8"?>
<sst xmlns="http://schemas.openxmlformats.org/spreadsheetml/2006/main" count="1033" uniqueCount="573">
  <si>
    <t xml:space="preserve">Corner Books — full catalogue</t>
  </si>
  <si>
    <t xml:space="preserve">Shop markup (×wholesale)</t>
  </si>
  <si>
    <t xml:space="preserve">Source: autoPrice() in index.html — round(cost × 1.45) − $0.10</t>
  </si>
  <si>
    <t xml:space="preserve">#</t>
  </si>
  <si>
    <t xml:space="preserve">Title</t>
  </si>
  <si>
    <t xml:space="preserve">Author</t>
  </si>
  <si>
    <t xml:space="preserve">Year</t>
  </si>
  <si>
    <t xml:space="preserve">Genre</t>
  </si>
  <si>
    <t xml:space="preserve">Moods</t>
  </si>
  <si>
    <t xml:space="preserve">Pace</t>
  </si>
  <si>
    <t xml:space="preserve">Weight</t>
  </si>
  <si>
    <t xml:space="preserve">Themes</t>
  </si>
  <si>
    <t xml:space="preserve">Wholesale cost ($)</t>
  </si>
  <si>
    <t xml:space="preserve">Shop price ($)</t>
  </si>
  <si>
    <t xml:space="preserve">Avg reader rating</t>
  </si>
  <si>
    <t xml:space="preserve">No. of ratings</t>
  </si>
  <si>
    <t xml:space="preserve">Blurb</t>
  </si>
  <si>
    <t xml:space="preserve">Never Let Me Go</t>
  </si>
  <si>
    <t xml:space="preserve">Kazuo Ishiguro</t>
  </si>
  <si>
    <t xml:space="preserve">Literary</t>
  </si>
  <si>
    <t xml:space="preserve">melancholy, contemplative</t>
  </si>
  <si>
    <t xml:space="preserve">slow</t>
  </si>
  <si>
    <t xml:space="preserve">medium</t>
  </si>
  <si>
    <t xml:space="preserve">memory, mortality, friendship</t>
  </si>
  <si>
    <t xml:space="preserve">Three friends raised at Hailsham, a secluded English boarding school, spend their childhood painting, gossiping and slowly noticing that the adults around them will never quite look them in the eye. As they grow into a wider, ordinary-seeming England, the truth of what they were made for closes in with a quiet, unhurried dread. Ishiguro never raises his voice; the horror is entirely in the calm.</t>
  </si>
  <si>
    <t xml:space="preserve">The Remains of the Day</t>
  </si>
  <si>
    <t xml:space="preserve">regret, duty, class</t>
  </si>
  <si>
    <t xml:space="preserve">Stevens, an ageing English butler, sets out on a motoring holiday across the West Country and finds himself reliving thirty years of service at Darlington Hall — the diplomatic dinners, the housekeeper he never allowed himself to love, the great house's slow slide toward a war his employer misjudged. Every sentence is precisely, devastatingly polite. What he cannot say out loud is the whole book.</t>
  </si>
  <si>
    <t xml:space="preserve">Klara and the Sun</t>
  </si>
  <si>
    <t xml:space="preserve">melancholy, hopeful</t>
  </si>
  <si>
    <t xml:space="preserve">love, loneliness, faith</t>
  </si>
  <si>
    <t xml:space="preserve">Klara is an Artificial Friend, built to be chosen and to love whichever child chooses her, and she watches the street outside her shop window with a solar-powered faith that borders on religion. When a frail girl named Josie finally takes her home, Klara's devotion is put to uses far stranger and sadder than companionship. A story about love asked to do an impossible job.</t>
  </si>
  <si>
    <t xml:space="preserve">Beloved</t>
  </si>
  <si>
    <t xml:space="preserve">Toni Morrison</t>
  </si>
  <si>
    <t xml:space="preserve">unsettling, melancholy</t>
  </si>
  <si>
    <t xml:space="preserve">heavy</t>
  </si>
  <si>
    <t xml:space="preserve">memory, slavery, motherhood</t>
  </si>
  <si>
    <t xml:space="preserve">Sethe escaped slavery in Kentucky and built a life in postwar Ohio, but the house at 124 Bluestone Road is haunted — first by a restless presence, then by a strange young woman who arrives at the door calling herself Beloved. Morrison writes the unspeakable act at the center of the novel with a force that rearranges everything around it. A landmark of American fiction.</t>
  </si>
  <si>
    <t xml:space="preserve">Norwegian Wood</t>
  </si>
  <si>
    <t xml:space="preserve">Haruki Murakami</t>
  </si>
  <si>
    <t xml:space="preserve">steady</t>
  </si>
  <si>
    <t xml:space="preserve">grief, first love, youth</t>
  </si>
  <si>
    <t xml:space="preserve">A song on an airplane sends Toru Watanabe back to 1960s Tokyo, to a fragile, grieving girl named Naoko who carries the death of the boy they both loved, and to the vivid, unapologetic Midori who wants him to choose life instead of memory. Quiet, sensual and steeped in loss, it is the Murakami novel without a single talking cat.</t>
  </si>
  <si>
    <t xml:space="preserve">Kafka on the Shore</t>
  </si>
  <si>
    <t xml:space="preserve">unsettling, contemplative</t>
  </si>
  <si>
    <t xml:space="preserve">fate, identity, dreams</t>
  </si>
  <si>
    <t xml:space="preserve">A fifteen-year-old runs away from an Oedipal prophecy under the alias Kafka Tamura, while across town an old man who lost his memory in a wartime incident discovers he can talk to cats. Their stories run in parallel and then, impossibly, touch. Fish fall from the sky, a forest swallows soldiers whole, and Murakami insists the dream logic is the point.</t>
  </si>
  <si>
    <t xml:space="preserve">One Hundred Years of Solitude</t>
  </si>
  <si>
    <t xml:space="preserve">Gabriel Garcia Marquez</t>
  </si>
  <si>
    <t xml:space="preserve">contemplative, melancholy</t>
  </si>
  <si>
    <t xml:space="preserve">family, time, solitude</t>
  </si>
  <si>
    <t xml:space="preserve">Jose Arcadio Buendia founds the town of Macondo on a whim, and seven generations of his descendants proceed to fall in love, wage war, chase gold and gypsy science, and repeat their ancestors' names and mistakes until the whole line is written into a manuscript that has been prophesying them all along. The founding text of magical realism, and still the best argument for it.</t>
  </si>
  <si>
    <t xml:space="preserve">The God of Small Things</t>
  </si>
  <si>
    <t xml:space="preserve">Arundhati Roy</t>
  </si>
  <si>
    <t xml:space="preserve">melancholy, unsettling</t>
  </si>
  <si>
    <t xml:space="preserve">family, caste, childhood</t>
  </si>
  <si>
    <t xml:space="preserve">Twins Estha and Rahel grow up in a pickle factory in Kerala, watched over by a family that observes every caste and class rule except the one that matters most. One afternoon at the river breaks the family permanently, and Roy circles that afternoon for the length of the novel, closing in a little more with every pass. Won the Booker Prize; still stings on a second reading.</t>
  </si>
  <si>
    <t xml:space="preserve">Things Fall Apart</t>
  </si>
  <si>
    <t xml:space="preserve">Chinua Achebe</t>
  </si>
  <si>
    <t xml:space="preserve">tradition, change, masculinity</t>
  </si>
  <si>
    <t xml:space="preserve">Okonkwo is a respected wrestler, farmer and warrior in his Igbo village, a man who has built his whole identity on not being his weak, gentle father. When British missionaries and colonial administrators arrive, the world that made Okonkwo's strength meaningful starts to dissolve around him. The first great African novel written in English, and still the clearest account of what colonialism actually costs.</t>
  </si>
  <si>
    <t xml:space="preserve">Pachinko</t>
  </si>
  <si>
    <t xml:space="preserve">Min Jin Lee</t>
  </si>
  <si>
    <t xml:space="preserve">family, migration, belonging</t>
  </si>
  <si>
    <t xml:space="preserve">Sunja, a poor fisherman's daughter in Japanese-occupied Korea, makes one impulsive choice as a teenager that sends her family into exile in Japan for four generations. Lee follows them through war, poverty, the shame economy of Korean-run pachinko parlors and the quiet cruelty of never quite belonging, in prose so unshowy you forget how much ground it's covering.</t>
  </si>
  <si>
    <t xml:space="preserve">Gone Girl</t>
  </si>
  <si>
    <t xml:space="preserve">Gillian Flynn</t>
  </si>
  <si>
    <t xml:space="preserve">Crime</t>
  </si>
  <si>
    <t xml:space="preserve">thrilling, unsettling</t>
  </si>
  <si>
    <t xml:space="preserve">fast</t>
  </si>
  <si>
    <t xml:space="preserve">marriage, deceit, media</t>
  </si>
  <si>
    <t xml:space="preserve">On the morning of their fifth wedding anniversary, Amy Dunne vanishes from the home she shares with her husband Nick, and the evidence — plus his own strange, guarded behaviour on television — starts turning the whole country against him. Flynn alternates his account with Amy's diary in a structure built entirely around a mid-book reversal that changes what every earlier page meant.</t>
  </si>
  <si>
    <t xml:space="preserve">The Girl with the Dragon Tattoo</t>
  </si>
  <si>
    <t xml:space="preserve">Stieg Larsson</t>
  </si>
  <si>
    <t xml:space="preserve">corruption, revenge, secrets</t>
  </si>
  <si>
    <t xml:space="preserve">Disgraced financial journalist Mikael Blomkvist is hired by an aging industrialist to solve his niece's disappearance forty years earlier, and finds his sharpest ally in Lisbeth Salander, a bisexual hacker with a photographic memory and a well-earned distrust of every institution in Sweden. What starts as a cold-case mystery opens into corporate fraud, Nazi sympathizers and a family that has been hiding something monstrous for decades.</t>
  </si>
  <si>
    <t xml:space="preserve">And Then There Were None</t>
  </si>
  <si>
    <t xml:space="preserve">Agatha Christie</t>
  </si>
  <si>
    <t xml:space="preserve">light</t>
  </si>
  <si>
    <t xml:space="preserve">guilt, justice, isolation</t>
  </si>
  <si>
    <t xml:space="preserve">Ten strangers are lured to an isolated island under false pretenses, and a recorded voice at dinner accuses each of them of a murder the law never touched. Then, one by one, in the order of an old nursery rhyme, they start to die. The best-selling mystery novel of all time, and the puzzle every locked-room writer since has had to answer to.</t>
  </si>
  <si>
    <t xml:space="preserve">The Big Sleep</t>
  </si>
  <si>
    <t xml:space="preserve">Raymond Chandler</t>
  </si>
  <si>
    <t xml:space="preserve">thrilling, funny</t>
  </si>
  <si>
    <t xml:space="preserve">corruption, loyalty, noir</t>
  </si>
  <si>
    <t xml:space="preserve">Private eye Philip Marlowe is hired to handle a blackmail note for a dying general's wayward daughter, a job that should take an afternoon and instead pulls him through pornography rings, gambling dens and three or four murders across a Los Angeles that Chandler makes feel simultaneously glamorous and rotten. The sentences are as sharp as the plot is deliberately hard to follow.</t>
  </si>
  <si>
    <t xml:space="preserve">The Silence of the Lambs</t>
  </si>
  <si>
    <t xml:space="preserve">Thomas Harris</t>
  </si>
  <si>
    <t xml:space="preserve">fear, ambition, evil</t>
  </si>
  <si>
    <t xml:space="preserve">FBI trainee Clarice Starling is sent to interview the imprisoned cannibal psychiatrist Hannibal Lecter for a behavioural profiling study, and finds herself trading pieces of her own past for his help catching an active serial killer skinning women across the Midwest. The cat-and-mouse between Starling and Lecter is colder and stranger than any straightforward manhunt.</t>
  </si>
  <si>
    <t xml:space="preserve">Dune</t>
  </si>
  <si>
    <t xml:space="preserve">Frank Herbert</t>
  </si>
  <si>
    <t xml:space="preserve">Sci-Fi</t>
  </si>
  <si>
    <t xml:space="preserve">thrilling, contemplative</t>
  </si>
  <si>
    <t xml:space="preserve">power, ecology, prophecy</t>
  </si>
  <si>
    <t xml:space="preserve">Paul Atreides, heir to a noble house, is exiled with his family to the desert planet Arrakis — the only source in the universe of the spice that fuels interstellar travel and expands human consciousness — where the native Fremen have been waiting, for reasons of their own, for a messiah who looks remarkably like him. A story about ecology, empire and the danger of believing your own myth, wrapped in one of the great world-builds in the genre.</t>
  </si>
  <si>
    <t xml:space="preserve">The Left Hand of Darkness</t>
  </si>
  <si>
    <t xml:space="preserve">Ursula K. Le Guin</t>
  </si>
  <si>
    <t xml:space="preserve">gender, trust, otherness</t>
  </si>
  <si>
    <t xml:space="preserve">Genly Ai is sent as an envoy to the ice-bound planet Gethen, whose inhabitants have no fixed gender and shift between male and female each month, and his mission collapses again and again on his own inability to read a society that doesn't map onto anything he understands. A trek across a killing glacier becomes the site where trust, finally, gets built. One of the foundational texts of feminist science fiction.</t>
  </si>
  <si>
    <t xml:space="preserve">Project Hail Mary</t>
  </si>
  <si>
    <t xml:space="preserve">Andy Weir</t>
  </si>
  <si>
    <t xml:space="preserve">thrilling, funny, hopeful</t>
  </si>
  <si>
    <t xml:space="preserve">friendship, science, survival</t>
  </si>
  <si>
    <t xml:space="preserve">Ryland Grace wakes up alone on a spacecraft with no memory of who he is, two dead crewmates, and — as the fog clears — the realization that he is humanity's last chance to stop a microorganism from dimming the sun. Weir applies the same problem-solving-as-plot engine from The Martian to a much bigger stage, and adds a first-contact friendship that turns out to be the emotional core of the whole book.</t>
  </si>
  <si>
    <t xml:space="preserve">The Fifth Season</t>
  </si>
  <si>
    <t xml:space="preserve">N. K. Jemisin</t>
  </si>
  <si>
    <t xml:space="preserve">Fantasy</t>
  </si>
  <si>
    <t xml:space="preserve">unsettling, thrilling</t>
  </si>
  <si>
    <t xml:space="preserve">oppression, motherhood, apocalypse</t>
  </si>
  <si>
    <t xml:space="preserve">On a world regularly wrecked by continent-cracking cataclysms called Fifth Seasons, orogenes — people who can control seismic energy — are feared, enslaved and used by the empires that need them. Essun's husband has just murdered their son for being one, and taken their daughter; she goes after both of them across a landscape already ending. The first book to win the Hugo Award for Best Novel three years running.</t>
  </si>
  <si>
    <t xml:space="preserve">Piranesi</t>
  </si>
  <si>
    <t xml:space="preserve">Susanna Clarke</t>
  </si>
  <si>
    <t xml:space="preserve">contemplative, unsettling</t>
  </si>
  <si>
    <t xml:space="preserve">wonder, memory, captivity</t>
  </si>
  <si>
    <t xml:space="preserve">Piranesi lives alone in an endless House of infinite halls, statues and tides that rise through the lower floors on a schedule he has learned to predict, keeping careful, loving records of everything he observes. He is certain there have only ever been thirteen people alive, including himself — until a visitor's questions start to suggest that his own memory has been edited, and by whom. A small, strange, deeply moving puzzle box.</t>
  </si>
  <si>
    <t xml:space="preserve">The Hobbit</t>
  </si>
  <si>
    <t xml:space="preserve">J.R.R. Tolkien</t>
  </si>
  <si>
    <t xml:space="preserve">comforting, funny</t>
  </si>
  <si>
    <t xml:space="preserve">adventure, courage, home</t>
  </si>
  <si>
    <t xml:space="preserve">Bilbo Baggins is a comfortable, unadventurous hobbit who wants nothing more than a quiet pipe and a full pantry, right up until the wizard Gandalf and thirteen dwarves arrive on his doorstep to recruit him for a burglary job against a dragon. Tolkien wrote it as a children's book and it shows in the best way — warm, funny and generous, with the vast mythology of Middle-earth only just visible underneath.</t>
  </si>
  <si>
    <t xml:space="preserve">Neuromancer</t>
  </si>
  <si>
    <t xml:space="preserve">William Gibson</t>
  </si>
  <si>
    <t xml:space="preserve">technology, addiction, identity</t>
  </si>
  <si>
    <t xml:space="preserve">Case was the best data thief on the console cowboy circuit until he crossed the wrong people and had his nervous system burned so he can no longer jack into cyberspace at all. A mysterious employer offers to fix him — for one last, impossibly dangerous run against the ice of a corporate artificial intelligence that wants something no one, including the AI itself, fully understands. The novel that coined 'cyberspace' and built the whole cyberpunk genre in one go.</t>
  </si>
  <si>
    <t xml:space="preserve">The Haunting of Hill House</t>
  </si>
  <si>
    <t xml:space="preserve">Shirley Jackson</t>
  </si>
  <si>
    <t xml:space="preserve">Horror</t>
  </si>
  <si>
    <t xml:space="preserve">loneliness, fear, the house</t>
  </si>
  <si>
    <t xml:space="preserve">Four strangers — an occult investigator and three people with a documented sensitivity to the supernatural — spend a summer as guests in Hill House, a mansion built, in Jackson's famous line, 'not sane.' Nothing conventionally monstrous ever quite appears; instead the house works on the loneliest of the four, Eleanor, until the line between the haunting and her own need to be wanted disappears completely. The template for every modern haunted-house story.</t>
  </si>
  <si>
    <t xml:space="preserve">Mexican Gothic</t>
  </si>
  <si>
    <t xml:space="preserve">Silvia Moreno-Garcia</t>
  </si>
  <si>
    <t xml:space="preserve">family, colonialism, dread</t>
  </si>
  <si>
    <t xml:space="preserve">Glamorous 1950s socialite Noemi Taboada travels to her newlywed cousin's isolated mountain estate after receiving a disturbing, half-coherent letter, and finds a decaying English manor house presiding over a Mexican silver-mining town with a poisoned past. The walls, it turns out, are not just listening — the whole house has ideas of its own about her family's future. Gothic horror with a colonial-history bite.</t>
  </si>
  <si>
    <t xml:space="preserve">Pride and Prejudice</t>
  </si>
  <si>
    <t xml:space="preserve">Jane Austen</t>
  </si>
  <si>
    <t xml:space="preserve">Romance</t>
  </si>
  <si>
    <t xml:space="preserve">funny, comforting</t>
  </si>
  <si>
    <t xml:space="preserve">class, pride, marriage</t>
  </si>
  <si>
    <t xml:space="preserve">Elizabeth Bennet decides, on very little evidence and with total confidence, that she cannot stand the proud, wealthy Mr Darcy — a verdict she will have to publicly and repeatedly revise as a proposal, a scandal and a great deal of very sharp dialogue force them both to see past their own first impressions. Two centuries on, it is still the sharpest comedy of manners in the English language.</t>
  </si>
  <si>
    <t xml:space="preserve">Beach Read</t>
  </si>
  <si>
    <t xml:space="preserve">Emily Henry</t>
  </si>
  <si>
    <t xml:space="preserve">funny, hopeful</t>
  </si>
  <si>
    <t xml:space="preserve">grief, writing, second chances</t>
  </si>
  <si>
    <t xml:space="preserve">Grief-stricken literary novelist January Andrews and cynical thriller writer Gus Everett end up as next-door neighbours in a lakeside town, both broke, both blocked, and strike a dare: she'll write something dark, he'll write something hopeful, and they'll take turns showing each other how the other genre actually works. What starts as a writing exercise turns into the thing neither of them was trying to write.</t>
  </si>
  <si>
    <t xml:space="preserve">Sapiens: A Brief History of Humankind</t>
  </si>
  <si>
    <t xml:space="preserve">Yuval Noah Harari</t>
  </si>
  <si>
    <t xml:space="preserve">History</t>
  </si>
  <si>
    <t xml:space="preserve">contemplative</t>
  </si>
  <si>
    <t xml:space="preserve">civilisation, myth, progress</t>
  </si>
  <si>
    <t xml:space="preserve">Harari traces Homo sapiens from an unremarkable East African ape to the species running the entire planet, arguing that the decisive advantage was never tools or fire but our unique ability to believe in shared fictions — money, nations, religions, corporations — at a scale that lets millions of strangers cooperate. A sweeping, argumentative history that will change how you look at every institution you take for granted.</t>
  </si>
  <si>
    <t xml:space="preserve">Educated</t>
  </si>
  <si>
    <t xml:space="preserve">Tara Westover</t>
  </si>
  <si>
    <t xml:space="preserve">Biography</t>
  </si>
  <si>
    <t xml:space="preserve">thrilling, hopeful</t>
  </si>
  <si>
    <t xml:space="preserve">family, education, escape</t>
  </si>
  <si>
    <t xml:space="preserve">Raised by survivalist parents in rural Idaho who kept her out of school and distrusted hospitals, Tara Westover taught herself enough mathematics and grammar to pass a college entrance exam at seventeen — and that first classroom became the opening of a long, painful break from the family and the worldview that raised her. A memoir about the cost of an education that is also a kind of leaving.</t>
  </si>
  <si>
    <t xml:space="preserve">The Emperor of All Maladies</t>
  </si>
  <si>
    <t xml:space="preserve">Siddhartha Mukherjee</t>
  </si>
  <si>
    <t xml:space="preserve">Non-Fiction</t>
  </si>
  <si>
    <t xml:space="preserve">medicine, science, mortality</t>
  </si>
  <si>
    <t xml:space="preserve">Oncologist Siddhartha Mukherjee writes what he calls a 'biography' of cancer — from the ancient Egyptian surgeons who first named it, through the brutal early chemotherapy trials, to the targeted therapies of the present — treating the disease itself as a character with a long, evolving history. Won the Pulitzer Prize for its rare combination of hard science and genuine narrative craft.</t>
  </si>
  <si>
    <t xml:space="preserve">Man's Search for Meaning</t>
  </si>
  <si>
    <t xml:space="preserve">Viktor E. Frankl</t>
  </si>
  <si>
    <t xml:space="preserve">Philosophy</t>
  </si>
  <si>
    <t xml:space="preserve">contemplative, hopeful</t>
  </si>
  <si>
    <t xml:space="preserve">suffering, meaning, hope</t>
  </si>
  <si>
    <t xml:space="preserve">Psychiatrist Viktor Frankl spent three years in Nazi concentration camps, and the first half of this short, unflinching book is his account of daily survival there; the second half lays out logotherapy, the theory he built from it — that even in the absolute worst circumstances, a person retains the freedom to choose their own response, and that meaning, not pleasure, is what actually sustains us.</t>
  </si>
  <si>
    <t xml:space="preserve">Thinking, Fast and Slow</t>
  </si>
  <si>
    <t xml:space="preserve">Daniel Kahneman</t>
  </si>
  <si>
    <t xml:space="preserve">psychology, bias, decisions</t>
  </si>
  <si>
    <t xml:space="preserve">Nobel laureate Daniel Kahneman lays out the two systems that run human judgment — a fast, intuitive, error-prone one and a slow, effortful, more accurate one — and then spends the book cataloguing the specific, predictable ways the fast system fools even careful thinkers. Dense with decades of research, but written so the traps are demonstrated on the reader in real time, not just described.</t>
  </si>
  <si>
    <t xml:space="preserve">Quiet</t>
  </si>
  <si>
    <t xml:space="preserve">Susan Cain</t>
  </si>
  <si>
    <t xml:space="preserve">personality, work, solitude</t>
  </si>
  <si>
    <t xml:space="preserve">Susan Cain makes the case, backed by psychology research and case studies from Wall Street to Harvard Business School, that Western culture has built its schools, offices and definitions of leadership almost entirely around the extrovert ideal — at real cost to the introverts who make up roughly a third to a half of the population. Part manifesto, part practical guide to working with your own temperament instead of against it.</t>
  </si>
  <si>
    <t xml:space="preserve">Bad Blood</t>
  </si>
  <si>
    <t xml:space="preserve">John Carreyrou</t>
  </si>
  <si>
    <t xml:space="preserve">Business</t>
  </si>
  <si>
    <t xml:space="preserve">fraud, ambition, silicon valley</t>
  </si>
  <si>
    <t xml:space="preserve">Wall Street Journal reporter John Carreyrou reconstructs, interview by interview, how Theranos — a blood-testing startup once valued at nine billion dollars on the promise of running hundreds of tests from a single finger-prick — was built on technology that never actually worked, and how founder Elizabeth Holmes kept investors, regulators and her own employees from finding out for years. Reads like a thriller because, structurally, it is one.</t>
  </si>
  <si>
    <t xml:space="preserve">Zero to One</t>
  </si>
  <si>
    <t xml:space="preserve">Peter Thiel</t>
  </si>
  <si>
    <t xml:space="preserve">startups, monopoly, contrarian</t>
  </si>
  <si>
    <t xml:space="preserve">PayPal co-founder Peter Thiel argues that real progress isn't copying what already works — going from 1 to n — but building something genuinely new that didn't exist before, going from 0 to 1, and that the companies which matter most are the ones brave enough to aim for a temporary monopoly rather than compete in a crowded market. Contrarian, opinionated, and built from his own Silicon Valley notebook.</t>
  </si>
  <si>
    <t xml:space="preserve">Meditations</t>
  </si>
  <si>
    <t xml:space="preserve">Marcus Aurelius</t>
  </si>
  <si>
    <t xml:space="preserve">c. AD 180</t>
  </si>
  <si>
    <t xml:space="preserve">contemplative, comforting</t>
  </si>
  <si>
    <t xml:space="preserve">stoicism, duty, death</t>
  </si>
  <si>
    <t xml:space="preserve">Written as private notes to himself during military campaigns, never intended for publication, this is the Roman emperor Marcus Aurelius working through Stoic philosophy in real time — reminding himself to control his temper, accept what he cannot change, treat others with patience, and prepare, without self-pity, for his own death. Nearly two thousand years later it still reads like advice meant for you specifically.</t>
  </si>
  <si>
    <t xml:space="preserve">The Myth of Sisyphus</t>
  </si>
  <si>
    <t xml:space="preserve">Albert Camus</t>
  </si>
  <si>
    <t xml:space="preserve">absurdity, meaning, suicide</t>
  </si>
  <si>
    <t xml:space="preserve">Camus opens with the claim that the only truly serious philosophical question is whether life is worth living, then spends the essay building his answer around the Greek myth of Sisyphus, condemned to push a boulder up a hill forever, only for it to roll back down every time. His conclusion — that we must imagine Sisyphus happy — is one of the most quoted, and most argued-over, lines in modern philosophy.</t>
  </si>
  <si>
    <t xml:space="preserve">Devotions</t>
  </si>
  <si>
    <t xml:space="preserve">Mary Oliver</t>
  </si>
  <si>
    <t xml:space="preserve">Poetry</t>
  </si>
  <si>
    <t xml:space="preserve">comforting, contemplative</t>
  </si>
  <si>
    <t xml:space="preserve">nature, attention, grace</t>
  </si>
  <si>
    <t xml:space="preserve">This career-spanning selection gathers roughly fifty years of Mary Oliver's poems — about geese crossing a clear sky, ponds at dawn, the discipline of simply paying attention to the natural world — chosen by Oliver herself as her definitive collection shortly before her death. Plainspoken, unsentimental and quietly devotional, in the way its title promises.</t>
  </si>
  <si>
    <t xml:space="preserve">Milk and Honey</t>
  </si>
  <si>
    <t xml:space="preserve">Rupi Kaur</t>
  </si>
  <si>
    <t xml:space="preserve">healing, love, womanhood</t>
  </si>
  <si>
    <t xml:space="preserve">Structured in four movements — the hurting, the loving, the breaking, the healing — Rupi Kaur's debut collection pairs short, stripped-down free verse with her own minimalist line drawings to trace one relationship's collapse and the slow rebuilding of a self afterward. It became a publishing phenomenon and, for better or worse, defined an entire generation's idea of what a poem could look like on Instagram.</t>
  </si>
  <si>
    <t xml:space="preserve">Where the Wild Things Are</t>
  </si>
  <si>
    <t xml:space="preserve">Maurice Sendak</t>
  </si>
  <si>
    <t xml:space="preserve">Children</t>
  </si>
  <si>
    <t xml:space="preserve">temper, imagination, home</t>
  </si>
  <si>
    <t xml:space="preserve">Sent to bed without supper for wearing his wolf suit and making mischief, Max sails in his imagination to an island of enormous, snarling monsters — who promptly crown him their king because he's the wildest thing of all. He rules over a magnificent wild rumpus, then gets homesick and sails back to find his supper still warm. Ten sentences that changed picture books forever.</t>
  </si>
  <si>
    <t xml:space="preserve">Charlotte's Web</t>
  </si>
  <si>
    <t xml:space="preserve">E.B. White</t>
  </si>
  <si>
    <t xml:space="preserve">comforting, melancholy</t>
  </si>
  <si>
    <t xml:space="preserve">friendship, death, farm</t>
  </si>
  <si>
    <t xml:space="preserve">Wilbur the pig is destined for the dinner table until Charlotte, a barn spider with an unusually good vocabulary, decides to save him by weaving flattering words about him into her web overnight. It works — but Charlotte's own life is running out on a much shorter clock than Wilbur's, and White never once softens that fact to spare young readers. Widely considered the best-selling children's paperback of all time.</t>
  </si>
  <si>
    <t xml:space="preserve">Matilda</t>
  </si>
  <si>
    <t xml:space="preserve">Roald Dahl</t>
  </si>
  <si>
    <t xml:space="preserve">books, injustice, cleverness</t>
  </si>
  <si>
    <t xml:space="preserve">Matilda Wormwood is a five-year-old genius stuck with parents who think television is more important than books and a headmistress who throws children by the pigtails, so she teaches herself to read, discovers the library, and — eventually — discovers she can move things with her mind. Dahl's last major children's novel and one of his most purely satisfying acts of revenge-on-behalf-of-kids.</t>
  </si>
  <si>
    <t xml:space="preserve">The Little Prince</t>
  </si>
  <si>
    <t xml:space="preserve">Antoine de Saint-Exupery</t>
  </si>
  <si>
    <t xml:space="preserve">innocence, love, loss</t>
  </si>
  <si>
    <t xml:space="preserve">A pilot stranded in the Sahara after an engine failure meets a solemn little boy who has fallen to Earth from a tiny asteroid, and who asks unanswerable questions about sheep, roses and the strange priorities of grown-ups. Written by a working aviator not long before he disappeared on a wartime reconnaissance flight, it is a children's book that gets sadder, not simpler, the older you are when you read it.</t>
  </si>
  <si>
    <t xml:space="preserve">Jane Eyre</t>
  </si>
  <si>
    <t xml:space="preserve">Charlotte Brontë</t>
  </si>
  <si>
    <t xml:space="preserve">independence, love, conscience</t>
  </si>
  <si>
    <t xml:space="preserve">Orphaned, unloved and sent to the grim charity school at Lowood, Jane Eyre grows up plain, poor and absolutely unwilling to be anyone's lesser. As governess at Thornfield Hall she falls for its brooding master, Mr Rochester, but something in the house — a laugh in the night, a locked upper floor — keeps getting between them and happiness. A love story whose heroine insists, at great cost, on keeping her own soul.</t>
  </si>
  <si>
    <t xml:space="preserve">Wuthering Heights</t>
  </si>
  <si>
    <t xml:space="preserve">Emily Brontë</t>
  </si>
  <si>
    <t xml:space="preserve">obsession, revenge, class</t>
  </si>
  <si>
    <t xml:space="preserve">On the wind-scoured Yorkshire moors, the foundling Heathcliff and Catherine Earnshaw grow up wild together and become something fiercer than lovers. When she marries for position instead, he disappears, returns rich, and sets about destroying both their families across a generation. Less a romance than a storm: nobody behaves well, and that is the point.</t>
  </si>
  <si>
    <t xml:space="preserve">Great Expectations</t>
  </si>
  <si>
    <t xml:space="preserve">Charles Dickens</t>
  </si>
  <si>
    <t xml:space="preserve">contemplative, funny</t>
  </si>
  <si>
    <t xml:space="preserve">ambition, class, guilt</t>
  </si>
  <si>
    <t xml:space="preserve">Pip, a blacksmith's boy on the Kent marshes, is frightened half to death by an escaped convict, summoned to play at the decaying house of the jilted Miss Havisham, and then told that a secret benefactor will make him a gentleman in London. Dickens follows his rise with comedy and a slow-building ache, as Pip learns what his snobbery has cost the people who loved him first. A coming-of-age novel about money, shame and gratitude.</t>
  </si>
  <si>
    <t xml:space="preserve">A Tale of Two Cities</t>
  </si>
  <si>
    <t xml:space="preserve">thrilling, melancholy</t>
  </si>
  <si>
    <t xml:space="preserve">revolution, sacrifice, resurrection</t>
  </si>
  <si>
    <t xml:space="preserve">London and Paris, from 1775 to the Terror. A doctor freed after eighteen years in the Bastille, his devoted daughter, a French aristocrat who has renounced his name and a dissolute English lawyer who happens to look exactly like him are all drawn toward the guillotine as the Revolution turns on itself. Dickens at his most theatrical, with one of the most famous openings — and closings — in English.</t>
  </si>
  <si>
    <t xml:space="preserve">Moby-Dick</t>
  </si>
  <si>
    <t xml:space="preserve">Herman Melville</t>
  </si>
  <si>
    <t xml:space="preserve">contemplative, thrilling</t>
  </si>
  <si>
    <t xml:space="preserve">obsession, nature, fate</t>
  </si>
  <si>
    <t xml:space="preserve">Call him Ishmael. A restless young man signs onto the Nantucket whaler Pequod and discovers that its captain, Ahab, has a single purpose for the voyage: to hunt down the white whale that took his leg. Melville crams whaling lore, sermons, comedy, philosophy and stage drama around the chase, and the result is strange, sprawling and thunderous. Patience is rewarded with some of the most electric prose in English.</t>
  </si>
  <si>
    <t xml:space="preserve">Frankenstein</t>
  </si>
  <si>
    <t xml:space="preserve">Mary Shelley</t>
  </si>
  <si>
    <t xml:space="preserve">creation, responsibility, isolation</t>
  </si>
  <si>
    <t xml:space="preserve">Victor Frankenstein, a brilliant young student, discovers how to give life to dead matter — and flees in horror from the creature he has made. Abandoned, articulate and increasingly desperate, the creature teaches himself to read, learns what people think of him, and comes looking for his maker. Begun when Mary Shelley was eighteen, it is less a monster story than an argument about who the monster really is.</t>
  </si>
  <si>
    <t xml:space="preserve">Dracula</t>
  </si>
  <si>
    <t xml:space="preserve">Bram Stoker</t>
  </si>
  <si>
    <t xml:space="preserve">fear, desire, modernity</t>
  </si>
  <si>
    <t xml:space="preserve">A young English solicitor travels to Transylvania to help a reclusive count buy a house in London, and slowly realises he is a prisoner in the castle. Told through diaries, letters, telegrams and newspaper cuttings, the story follows the count to England and the small band — a Dutch professor, a doctor, a fiancée — who set out to stop him. The book that made the vampire, and still genuinely creepy at night.</t>
  </si>
  <si>
    <t xml:space="preserve">War and Peace</t>
  </si>
  <si>
    <t xml:space="preserve">Leo Tolstoy</t>
  </si>
  <si>
    <t xml:space="preserve">war, love, meaning</t>
  </si>
  <si>
    <t xml:space="preserve">Russia, 1805 to 1812: the awkward, searching Pierre Bezukhov, the proud Prince Andrei Bolkonsky and the impulsive young Natasha Rostova live through balls, duels, ruin, love affairs and Napoleon's invasion. Tolstoy moves from drawing rooms to battlefields to his own essays on why history happens, with hundreds of characters who each feel like a real person. Enormous, yes — and far more readable than its reputation.</t>
  </si>
  <si>
    <t xml:space="preserve">Anna Karenina</t>
  </si>
  <si>
    <t xml:space="preserve">love, society, faith</t>
  </si>
  <si>
    <t xml:space="preserve">Anna, the beautiful wife of a cold St Petersburg official, falls into a passionate affair with the dashing officer Vronsky, and a society that tolerated discretion will not forgive honesty. Running beside hers is the story of Levin, an awkward landowner trying to farm well, love well and find something to believe in. 'Happy families are all alike' — and Tolstoy spends eight hundred pages showing how differently unhappy people can be.</t>
  </si>
  <si>
    <t xml:space="preserve">Crime and Punishment</t>
  </si>
  <si>
    <t xml:space="preserve">Fyodor Dostoevsky</t>
  </si>
  <si>
    <t xml:space="preserve">guilt, redemption, morality</t>
  </si>
  <si>
    <t xml:space="preserve">Raskolnikov, a starving former student in a feverish St Petersburg summer, convinces himself that an extraordinary man may step over the moral law, and murders an old pawnbroker to prove it. What follows is not a whodunit but a will-he-break, as a patient, cheerful detective circles him and a young woman named Sonya offers something harder than escape. A psychological thriller written a century before the term existed.</t>
  </si>
  <si>
    <t xml:space="preserve">The Brothers Karamazov</t>
  </si>
  <si>
    <t xml:space="preserve">faith, doubt, family</t>
  </si>
  <si>
    <t xml:space="preserve">Fyodor Karamazov is a vulgar, greedy father, and his sons — passionate Dmitri, intellectual Ivan and gentle Alyosha, a novice monk — each have reasons to wish him dead. When someone does kill him, the trial becomes a trial of faith, reason and freedom itself. Dostoevsky's last and greatest novel, home to 'The Grand Inquisitor', and the book philosophers keep arguing with.</t>
  </si>
  <si>
    <t xml:space="preserve">Les Misérables</t>
  </si>
  <si>
    <t xml:space="preserve">Victor Hugo</t>
  </si>
  <si>
    <t xml:space="preserve">hopeful, melancholy</t>
  </si>
  <si>
    <t xml:space="preserve">mercy, justice, poverty</t>
  </si>
  <si>
    <t xml:space="preserve">Jean Valjean, released after nineteen years in the galleys for stealing bread, is shown a single act of mercy by a bishop and spends the rest of his life trying to deserve it, hunted all the while by the implacable Inspector Javert. Around him Hugo builds a whole France — the orphan Cosette, the student revolutionaries at the barricades of 1832, the sewers of Paris. Huge, digressive and unashamedly moving.</t>
  </si>
  <si>
    <t xml:space="preserve">The Count of Monte Cristo</t>
  </si>
  <si>
    <t xml:space="preserve">Alexandre Dumas</t>
  </si>
  <si>
    <t xml:space="preserve">revenge, justice, patience</t>
  </si>
  <si>
    <t xml:space="preserve">On the eve of his wedding, the young sailor Edmond Dantès is framed by jealous rivals and thrown without trial into the island fortress of the Château d'If. Fourteen years later he escapes with a fortune and a new name, and returns to Paris to take apart, slowly and elegantly, the lives of the men who buried him. The original revenge thriller — a page-turner at a thousand pages.</t>
  </si>
  <si>
    <t xml:space="preserve">Don Quixote</t>
  </si>
  <si>
    <t xml:space="preserve">Miguel de Cervantes</t>
  </si>
  <si>
    <t xml:space="preserve">funny, contemplative</t>
  </si>
  <si>
    <t xml:space="preserve">imagination, idealism, friendship</t>
  </si>
  <si>
    <t xml:space="preserve">A gentleman of La Mancha reads so many tales of chivalry that he renames himself Don Quixote, puts on rusty armour and rides out on a bony horse to right the world's wrongs, with the practical farmer Sancho Panza as his squire. He charges windmills he takes for giants and flocks of sheep he takes for armies, and the comedy turns slowly into something tender. Often called the first modern novel, and still very funny.</t>
  </si>
  <si>
    <t xml:space="preserve">Madame Bovary</t>
  </si>
  <si>
    <t xml:space="preserve">Gustave Flaubert</t>
  </si>
  <si>
    <t xml:space="preserve">desire, boredom, illusion</t>
  </si>
  <si>
    <t xml:space="preserve">Emma Bovary, raised on romantic novels, marries a dull, kindly country doctor and finds provincial Normandy unbearable. She looks for the life she has read about in love affairs, fine fabrics and debts she cannot pay, and Flaubert watches it all with a precision that got him put on trial for offending public morals. The novel that taught modern fiction how to look at ordinary people without blinking.</t>
  </si>
  <si>
    <t xml:space="preserve">The Great Gatsby</t>
  </si>
  <si>
    <t xml:space="preserve">F. Scott Fitzgerald</t>
  </si>
  <si>
    <t xml:space="preserve">wealth, longing, illusion</t>
  </si>
  <si>
    <t xml:space="preserve">Nick Carraway rents a cottage on Long Island in the summer of 1922 and finds himself next door to Jay Gatsby, a mysterious millionaire who throws enormous parties for strangers. Gatsby wants only one thing: Nick's cousin Daisy, the girl he lost five years earlier, now married to the brutish Tom Buchanan. Short, glittering and sad, it is the definitive novel of the American dream curdling.</t>
  </si>
  <si>
    <t xml:space="preserve">Nineteen Eighty-Four</t>
  </si>
  <si>
    <t xml:space="preserve">George Orwell</t>
  </si>
  <si>
    <t xml:space="preserve">surveillance, truth, power</t>
  </si>
  <si>
    <t xml:space="preserve">In Airstrip One, a province of the superstate Oceania, Winston Smith rewrites old newspapers so that the Party has always been right. He starts a forbidden diary, then a forbidden love affair, in a world where the telescreen is always watching and thoughtcrime is the only crime. The book that gave us Big Brother, doublethink and Room 101, and it grows more relevant every decade.</t>
  </si>
  <si>
    <t xml:space="preserve">Animal Farm</t>
  </si>
  <si>
    <t xml:space="preserve">funny, unsettling</t>
  </si>
  <si>
    <t xml:space="preserve">power, propaganda, revolution</t>
  </si>
  <si>
    <t xml:space="preserve">The animals of Manor Farm drive out their drunken farmer and set up a society in which all animals are equal. Then the pigs, who are cleverer than the rest, start changing the rules — quietly at first, and then not quietly at all. A short, sharp fable of the Russian Revolution that works just as well for any revolution, office or committee.</t>
  </si>
  <si>
    <t xml:space="preserve">Brave New World</t>
  </si>
  <si>
    <t xml:space="preserve">Aldous Huxley</t>
  </si>
  <si>
    <t xml:space="preserve">control, pleasure, freedom</t>
  </si>
  <si>
    <t xml:space="preserve">In the World State, babies are grown in bottles and conditioned into castes, everyone is happy, and any flicker of discomfort is dissolved with a dose of soma. When Bernard Marx brings back John, a 'savage' raised on a reservation with only Shakespeare for company, the perfect society has to explain itself. The other great dystopia — and arguably the one we are closer to.</t>
  </si>
  <si>
    <t xml:space="preserve">To Kill a Mockingbird</t>
  </si>
  <si>
    <t xml:space="preserve">Harper Lee</t>
  </si>
  <si>
    <t xml:space="preserve">justice, prejudice, childhood</t>
  </si>
  <si>
    <t xml:space="preserve">In 1930s Maycomb, Alabama, six-year-old Scout Finch and her brother Jem spend their summers daring each other to approach the house of the reclusive Boo Radley. Then their father, the lawyer Atticus Finch, agrees to defend a Black man falsely accused of raping a white woman, and the town shows the children what it really is. Warm, funny and morally serious; a book many people first loved at school.</t>
  </si>
  <si>
    <t xml:space="preserve">The Catcher in the Rye</t>
  </si>
  <si>
    <t xml:space="preserve">J. D. Salinger</t>
  </si>
  <si>
    <t xml:space="preserve">melancholy, funny</t>
  </si>
  <si>
    <t xml:space="preserve">alienation, grief, adolescence</t>
  </si>
  <si>
    <t xml:space="preserve">Sixteen-year-old Holden Caulfield has just been expelled from another prep school, and rather than go home he spends three days drifting around a cold New York, calling everyone a phony. His voice — sardonic, wounded, endlessly digressive — is the whole book. Readers either recognise themselves completely or want to shake him, and both are the right response.</t>
  </si>
  <si>
    <t xml:space="preserve">Of Mice and Men</t>
  </si>
  <si>
    <t xml:space="preserve">John Steinbeck</t>
  </si>
  <si>
    <t xml:space="preserve">melancholy</t>
  </si>
  <si>
    <t xml:space="preserve">friendship, loneliness, dreams</t>
  </si>
  <si>
    <t xml:space="preserve">George and Lennie, two itinerant ranch hands in Depression-era California, share a dream of owning a little place of their own, where Lennie — a gentle giant who doesn't know his own strength — can tend the rabbits. They find work on a ranch near Soledad, and for a while the dream almost looks possible. Barely a hundred pages, and it hits like a much longer book.</t>
  </si>
  <si>
    <t xml:space="preserve">The Grapes of Wrath</t>
  </si>
  <si>
    <t xml:space="preserve">poverty, dignity, solidarity</t>
  </si>
  <si>
    <t xml:space="preserve">The Joad family lose their Oklahoma farm to drought, debt and the banks, pile everything onto a battered truck and head west on Route 66 toward the work they have been promised in California. What they find is a land of plenty that does not want them. Steinbeck alternates their journey with sweeping chapters on a whole displaced people, and the anger in it still burns.</t>
  </si>
  <si>
    <t xml:space="preserve">Ulysses</t>
  </si>
  <si>
    <t xml:space="preserve">James Joyce</t>
  </si>
  <si>
    <t xml:space="preserve">everyday life, identity, Dublin</t>
  </si>
  <si>
    <t xml:space="preserve">A single day in Dublin, 16 June 1904: the advertising canvasser Leopold Bloom attends a funeral, fries a kidney, wanders the city and puts off going home, while the young Stephen Dedalus broods on art and his dead mother. Joyce changes style with every chapter, from newspaper headlines to a play script to Molly Bloom's famous unpunctuated monologue. Difficult, bawdy, funny and enormous — the summit of modernism.</t>
  </si>
  <si>
    <t xml:space="preserve">Mrs Dalloway</t>
  </si>
  <si>
    <t xml:space="preserve">Virginia Woolf</t>
  </si>
  <si>
    <t xml:space="preserve">time, memory, mental health</t>
  </si>
  <si>
    <t xml:space="preserve">On a June day in London after the Great War, Clarissa Dalloway goes out to buy the flowers for the party she is giving that evening. Across the city, Septimus Warren Smith, a shell-shocked veteran, is coming apart. Woolf moves between their minds and a dozen others in a single flowing current, and an ordinary day becomes a meditation on time, memory and the courage it takes simply to go on.</t>
  </si>
  <si>
    <t xml:space="preserve">Heart of Darkness</t>
  </si>
  <si>
    <t xml:space="preserve">Joseph Conrad</t>
  </si>
  <si>
    <t xml:space="preserve">colonialism, evil, civilisation</t>
  </si>
  <si>
    <t xml:space="preserve">On a boat anchored in the Thames at dusk, the sailor Marlow tells of the time he took a steamer up the Congo River for a Belgian trading company, in search of Kurtz, an ivory agent rumoured to have become something terrible. A short, dense, nightmarish voyage into colonial greed — argued over ever since, not least by Chinua Achebe, who called it racist — and still impossible to ignore.</t>
  </si>
  <si>
    <t xml:space="preserve">The Picture of Dorian Gray</t>
  </si>
  <si>
    <t xml:space="preserve">Oscar Wilde</t>
  </si>
  <si>
    <t xml:space="preserve">beauty, corruption, vanity</t>
  </si>
  <si>
    <t xml:space="preserve">A beautiful young man sits for his portrait and, under the spell of the witty, poisonous Lord Henry Wotton, wishes that the picture would grow old instead of him. The wish comes true. As Dorian sinks into a life of pleasure and cruelty in fashionable London, his face stays perfect while the painting, locked away upstairs, records everything. Wilde's only novel: epigrams on the surface, Gothic horror underneath.</t>
  </si>
  <si>
    <t xml:space="preserve">Little Women</t>
  </si>
  <si>
    <t xml:space="preserve">Louisa May Alcott</t>
  </si>
  <si>
    <t xml:space="preserve">comforting, hopeful</t>
  </si>
  <si>
    <t xml:space="preserve">sisterhood, family, growing up</t>
  </si>
  <si>
    <t xml:space="preserve">While their father is away at the American Civil War, the four March sisters — responsible Meg, fiery, bookish Jo, gentle Beth and vain little Amy — grow up in genteel poverty in New England with their mother, Marmee. Their plays, quarrels, friendships and first loves fill a book that has comforted readers for over 150 years. Jo March remains a patron saint for anyone who wants to write.</t>
  </si>
  <si>
    <t xml:space="preserve">Adventures of Huckleberry Finn</t>
  </si>
  <si>
    <t xml:space="preserve">Mark Twain</t>
  </si>
  <si>
    <t xml:space="preserve">funny, thrilling</t>
  </si>
  <si>
    <t xml:space="preserve">freedom, conscience, friendship</t>
  </si>
  <si>
    <t xml:space="preserve">Huck Finn fakes his own death to escape his drunken, violent father and drifts down the Mississippi on a raft with Jim, an enslaved man running for his freedom. Along the river they meet con men, feuding families and lynch mobs, and Huck — told all his life that helping Jim is a sin — has to decide for himself. Funny, vernacular and morally fierce; Hemingway said all modern American literature comes from it.</t>
  </si>
  <si>
    <t xml:space="preserve">The Scarlet Letter</t>
  </si>
  <si>
    <t xml:space="preserve">Nathaniel Hawthorne</t>
  </si>
  <si>
    <t xml:space="preserve">shame, sin, hypocrisy</t>
  </si>
  <si>
    <t xml:space="preserve">In seventeenth-century Puritan Boston, Hester Prynne is made to stand on the scaffold with her baby and wear a scarlet A for adultery, and she refuses to name the father. Her long-lost husband arrives in disguise and sets out, quietly, to find out who he is. Hawthorne's dark romance about public shame and private guilt — and which of the two does more damage.</t>
  </si>
  <si>
    <t xml:space="preserve">Lord of the Flies</t>
  </si>
  <si>
    <t xml:space="preserve">William Golding</t>
  </si>
  <si>
    <t xml:space="preserve">savagery, power, innocence</t>
  </si>
  <si>
    <t xml:space="preserve">A planeload of British schoolboys crash-lands on a deserted tropical island during a war, with no adults left alive. At first they elect a leader, build shelters and keep a signal fire burning; then the hunters break away, the fire goes out, and something in the forest begins to be worshipped. A short, brutal fable about how thin the civilised layer really is.</t>
  </si>
  <si>
    <t xml:space="preserve">Fahrenheit 451</t>
  </si>
  <si>
    <t xml:space="preserve">Ray Bradbury</t>
  </si>
  <si>
    <t xml:space="preserve">unsettling, hopeful</t>
  </si>
  <si>
    <t xml:space="preserve">censorship, knowledge, conformity</t>
  </si>
  <si>
    <t xml:space="preserve">Guy Montag is a fireman, which in his future America means he burns books, and the houses that hide them. Everyone around him is happily plugged into wall-sized televisions — until a strange teenage neighbour asks whether he is happy, and he steals a book. Bradbury's short, urgent novel about censorship, distraction and the people who memorise what is about to be lost.</t>
  </si>
  <si>
    <t xml:space="preserve">The Odyssey</t>
  </si>
  <si>
    <t xml:space="preserve">Homer</t>
  </si>
  <si>
    <t xml:space="preserve">c. 8th century BC</t>
  </si>
  <si>
    <t xml:space="preserve">homecoming, cunning, loyalty</t>
  </si>
  <si>
    <t xml:space="preserve">Ten years after the fall of Troy, Odysseus still has not come home. He has outwitted a Cyclops, sailed past the Sirens and been held for years by a nymph, while back in Ithaca his wife Penelope stalls a hall full of suitors and his son Telemachus sets out to find him. The oldest adventure story in Western literature, and the model for every hero's journey since.</t>
  </si>
  <si>
    <t xml:space="preserve">Gone with the Wind</t>
  </si>
  <si>
    <t xml:space="preserve">Margaret Mitchell</t>
  </si>
  <si>
    <t xml:space="preserve">survival, love, loss</t>
  </si>
  <si>
    <t xml:space="preserve">Scarlett O'Hara, the spoilt and spirited daughter of a Georgia plantation owner, loves a man she cannot have and marries men she does not love, as the American Civil War burns her world down. Surviving the siege of Atlanta and the hunger that follows, she becomes ruthless, and the roguish Rhett Butler is the only one who sees her clearly. A huge, gripping romance, though its nostalgia for the slave-owning South is hard for many readers to stomach today.</t>
  </si>
  <si>
    <t xml:space="preserve">Rebecca</t>
  </si>
  <si>
    <t xml:space="preserve">Daphne du Maurier</t>
  </si>
  <si>
    <t xml:space="preserve">jealousy, identity, secrets</t>
  </si>
  <si>
    <t xml:space="preserve">A shy young woman working as a paid companion in Monte Carlo marries the wealthy widower Maxim de Winter and goes home with him to Manderley, his great house on the Cornish coast. Everything there still belongs to his first wife, Rebecca — her monogram, her rooms, her devoted housekeeper Mrs Danvers. 'Last night I dreamt I went to Manderley again': a psychological Gothic that tightens like a noose.</t>
  </si>
  <si>
    <t xml:space="preserve">The Lord of the Rings</t>
  </si>
  <si>
    <t xml:space="preserve">J. R. R. Tolkien</t>
  </si>
  <si>
    <t xml:space="preserve">courage, friendship, temptation</t>
  </si>
  <si>
    <t xml:space="preserve">Frodo Baggins inherits a plain gold ring from his uncle Bilbo and learns that it is the One Ring of the Dark Lord Sauron, who is searching for it. With a fellowship of hobbits, men, an elf, a dwarf and the wizard Gandalf, Frodo sets out to destroy it in the fire where it was forged. The founding text of modern fantasy, full of songs, languages and history, and a story of very small people doing very large things.</t>
  </si>
  <si>
    <t xml:space="preserve">Catch-22</t>
  </si>
  <si>
    <t xml:space="preserve">Joseph Heller</t>
  </si>
  <si>
    <t xml:space="preserve">war, absurdity, bureaucracy</t>
  </si>
  <si>
    <t xml:space="preserve">On a small Mediterranean island in the Second World War, the bombardier Yossarian is convinced that everyone is trying to kill him — the enemy, and his own colonels, who keep raising the number of missions needed to go home. He tries to be declared insane, but anyone who asks to be excused from combat must be sane. That's the catch. A furious, circular black comedy about bureaucracy and war.</t>
  </si>
  <si>
    <t xml:space="preserve">Slaughterhouse-Five</t>
  </si>
  <si>
    <t xml:space="preserve">Kurt Vonnegut</t>
  </si>
  <si>
    <t xml:space="preserve">funny, melancholy</t>
  </si>
  <si>
    <t xml:space="preserve">war, trauma, free will</t>
  </si>
  <si>
    <t xml:space="preserve">Billy Pilgrim has come unstuck in time. He drifts between his childhood, his life as an optometrist in Ilium, New York, his abduction by aliens from Tralfamadore and the firebombing of Dresden, which he survived as a prisoner of war in an underground meat locker — as Vonnegut himself did. So it goes. A short, wry, heartbroken anti-war novel that refuses to tell its story in order.</t>
  </si>
  <si>
    <t xml:space="preserve">The Stranger</t>
  </si>
  <si>
    <t xml:space="preserve">absurdity, alienation, judgement</t>
  </si>
  <si>
    <t xml:space="preserve">'Mother died today. Or maybe yesterday; I can't be sure.' Meursault, a clerk in French Algiers, attends his mother's funeral without weeping, starts an affair, and weeks later shoots a man on a blazing beach for no reason he can name. His trial turns out to be less about the killing than about his refusal to feel what society expects. Camus' short, cool novel of the absurd.</t>
  </si>
  <si>
    <t xml:space="preserve">The Metamorphosis</t>
  </si>
  <si>
    <t xml:space="preserve">Franz Kafka</t>
  </si>
  <si>
    <t xml:space="preserve">unsettling, funny</t>
  </si>
  <si>
    <t xml:space="preserve">alienation, family, duty</t>
  </si>
  <si>
    <t xml:space="preserve">Gregor Samsa, a travelling salesman who supports his whole family, wakes one morning to find he has been transformed into a monstrous insect. His first worry is that he will be late for work. Kafka's novella follows his family's reaction — horror, then resentment, then something worse — and is by turns absurd, darkly comic and deeply sad.</t>
  </si>
  <si>
    <t xml:space="preserve">Invisible Man</t>
  </si>
  <si>
    <t xml:space="preserve">Ralph Ellison</t>
  </si>
  <si>
    <t xml:space="preserve">identity, race, visibility</t>
  </si>
  <si>
    <t xml:space="preserve">From an underground room lit by 1,369 stolen light bulbs, an unnamed Black narrator tells how he went from a Southern college to Harlem, joining and leaving one movement after another, only to find that no one ever really sees him. Surreal, angry and as rhythmic as jazz, Ellison's novel won the National Book Award in 1953.</t>
  </si>
  <si>
    <t xml:space="preserve">The Old Man and the Sea</t>
  </si>
  <si>
    <t xml:space="preserve">Ernest Hemingway</t>
  </si>
  <si>
    <t xml:space="preserve">endurance, pride, nature</t>
  </si>
  <si>
    <t xml:space="preserve">Santiago, an old Cuban fisherman, has gone eighty-four days without a catch. He rows far out into the Gulf Stream alone and hooks a giant marlin that tows his skiff for days. Hemingway's spare, luminous novella of endurance won him the Pulitzer Prize and helped win him the Nobel.</t>
  </si>
  <si>
    <t xml:space="preserve">The Hound of the Baskervilles</t>
  </si>
  <si>
    <t xml:space="preserve">Arthur Conan Doyle</t>
  </si>
  <si>
    <t xml:space="preserve">deduction, superstition, inheritance</t>
  </si>
  <si>
    <t xml:space="preserve">Sir Charles Baskerville is found dead at the edge of Dartmoor with a look of terror on his face, and near the body are the footprints of a gigantic hound. The family legend calls it a curse. Sherlock Holmes sends Dr Watson to guard the heir at a fog-bound manor among bogs, an escaped convict and suspicious neighbours. The best Holmes story, and the most atmospheric.</t>
  </si>
  <si>
    <t xml:space="preserve">Their Eyes Were Watching God</t>
  </si>
  <si>
    <t xml:space="preserve">Zora Neale Hurston</t>
  </si>
  <si>
    <t xml:space="preserve">independence, love, voice</t>
  </si>
  <si>
    <t xml:space="preserve">Janie Crawford tells her friend Pheoby the story of her life: the marriage her grandmother arranged for her, a second husband who becomes mayor of an all-Black Florida town and silences her, and at last Tea Cake, a younger, laughing man who takes her down to the Everglades to work the muck. Hurston's rich Southern vernacular sings. A love story, and a story of a woman finding her own voice.</t>
  </si>
  <si>
    <t xml:space="preserve">The Handmaid's Tale</t>
  </si>
  <si>
    <t xml:space="preserve">Margaret Atwood</t>
  </si>
  <si>
    <t xml:space="preserve">control, gender, resistance</t>
  </si>
  <si>
    <t xml:space="preserve">In the Republic of Gilead, a theocracy that has overthrown the United States, fertile women are assigned to the households of powerful men to bear their children. Offred remembers her daughter, her husband, her job, her own name — all taken from her. Atwood said she put nothing in it that had not already happened somewhere in history, which is exactly what makes it frightening.</t>
  </si>
  <si>
    <t xml:space="preserve">The Name of the Rose</t>
  </si>
  <si>
    <t xml:space="preserve">Umberto Eco</t>
  </si>
  <si>
    <t xml:space="preserve">knowledge, faith, laughter</t>
  </si>
  <si>
    <t xml:space="preserve">In 1327 the English Franciscan William of Baskerville and his young novice Adso arrive at a wealthy Benedictine abbey in northern Italy for a theological debate, and find the monks dying one by one. The clues lead into the abbey's labyrinthine library and a forbidden book. A murder mystery wrapped in medieval philosophy and heresy — demanding, and hugely rewarding.</t>
  </si>
  <si>
    <t xml:space="preserve">Midnight's Children</t>
  </si>
  <si>
    <t xml:space="preserve">Salman Rushdie</t>
  </si>
  <si>
    <t xml:space="preserve">history, identity, India</t>
  </si>
  <si>
    <t xml:space="preserve">Saleem Sinai is born at the stroke of midnight on 15 August 1947, the moment India becomes independent, and discovers that he is telepathically linked to the 1,001 children born in that first hour. His life becomes chained to his nation's — Partition, war, the Emergency — told in a riotous, digressive, pickle-scented voice. Rushdie's Booker winner, later named the best of all Booker winners.</t>
  </si>
  <si>
    <t xml:space="preserve">The Kite Runner</t>
  </si>
  <si>
    <t xml:space="preserve">Khaled Hosseini</t>
  </si>
  <si>
    <t xml:space="preserve">guilt, redemption, friendship</t>
  </si>
  <si>
    <t xml:space="preserve">Amir, the son of a wealthy Kabul businessman, and Hassan, the son of his father's servant, are inseparable friends and kite-fighters in 1970s Afghanistan — until one winter afternoon when Amir fails Hassan in the worst way imaginable. Decades later, settled in California, he is called back to a Taliban-ruled Kabul with a chance to be good again. A wrenching, hugely popular story of guilt and atonement.</t>
  </si>
  <si>
    <t xml:space="preserve">Life of Pi</t>
  </si>
  <si>
    <t xml:space="preserve">Yann Martel</t>
  </si>
  <si>
    <t xml:space="preserve">hopeful, contemplative</t>
  </si>
  <si>
    <t xml:space="preserve">faith, survival, storytelling</t>
  </si>
  <si>
    <t xml:space="preserve">Pi Patel, the son of a zookeeper in Pondicherry, is sixteen when the ship carrying his family and their animals to Canada sinks in the Pacific. He finds himself in a lifeboat with a zebra, a hyena, an orangutan and a 450-pound Bengal tiger named Richard Parker. What follows is 227 days of survival, and a story that asks which version of the truth you would rather believe.</t>
  </si>
  <si>
    <t xml:space="preserve">The Road</t>
  </si>
  <si>
    <t xml:space="preserve">Cormac McCarthy</t>
  </si>
  <si>
    <t xml:space="preserve">survival, parenthood, hope</t>
  </si>
  <si>
    <t xml:space="preserve">A father and his young son walk south through a burned, ash-covered America years after an unnamed catastrophe, pushing a shopping trolley of supplies and carrying a pistol with two bullets. They scavenge, hide from roving bands and keep 'carrying the fire'. McCarthy's spare, bleak Pulitzer winner is also, unexpectedly, one of the most tender books about parenthood ever written.</t>
  </si>
  <si>
    <t xml:space="preserve">Atonement</t>
  </si>
  <si>
    <t xml:space="preserve">Ian McEwan</t>
  </si>
  <si>
    <t xml:space="preserve">guilt, love, storytelling</t>
  </si>
  <si>
    <t xml:space="preserve">On a hot summer's day in 1935 at an English country house, thirteen-year-old Briony Tallis, an aspiring writer, sees something pass between her older sister Cecilia and Robbie, the housekeeper's son, that she does not understand — and that night she tells a lie that will change three lives. The novel follows them into the Second World War, Dunkirk and the London hospitals. A story about guilt, and about the power and the limits of fiction.</t>
  </si>
  <si>
    <t xml:space="preserve">The Alchemist</t>
  </si>
  <si>
    <t xml:space="preserve">Paulo Coelho</t>
  </si>
  <si>
    <t xml:space="preserve">destiny, dreams, journey</t>
  </si>
  <si>
    <t xml:space="preserve">Santiago, an Andalusian shepherd boy, dreams twice of treasure hidden near the Egyptian pyramids and sets out across the desert to find it. On the way he meets a king, a crystal merchant, an Englishman and an alchemist, who teach him to read omens and follow his 'Personal Legend'. A short, simple fable that has become one of the best-selling books in the world.</t>
  </si>
  <si>
    <t xml:space="preserve">The Hitchhiker's Guide to the Galaxy</t>
  </si>
  <si>
    <t xml:space="preserve">Douglas Adams</t>
  </si>
  <si>
    <t xml:space="preserve">absurdity, meaning, friendship</t>
  </si>
  <si>
    <t xml:space="preserve">Seconds before Earth is demolished to make way for a hyperspace bypass, Arthur Dent is rescued by his friend Ford Prefect, who turns out to be a researcher for the bestselling Hitchhiker's Guide to the Galaxy. Still in his dressing gown, Arthur is swept across the universe with a two-headed galactic president, a depressed robot and the answer to life, the universe and everything. Don't panic.</t>
  </si>
  <si>
    <t xml:space="preserve">Harry Potter and the Philosopher's Stone</t>
  </si>
  <si>
    <t xml:space="preserve">J. K. Rowling</t>
  </si>
  <si>
    <t xml:space="preserve">friendship, belonging, courage</t>
  </si>
  <si>
    <t xml:space="preserve">Harry Potter has spent ten years sleeping in a cupboard under the stairs of his awful aunt and uncle's house, until a giant called Hagrid tells him he is a wizard with a place at Hogwarts School of Witchcraft and Wizardry. There he finds friends, Quidditch, a three-headed dog and the truth about the scar on his forehead. The book that turned a generation into readers.</t>
  </si>
  <si>
    <t xml:space="preserve">The Da Vinci Code</t>
  </si>
  <si>
    <t xml:space="preserve">Dan Brown</t>
  </si>
  <si>
    <t xml:space="preserve">thrilling</t>
  </si>
  <si>
    <t xml:space="preserve">codes, conspiracy, faith</t>
  </si>
  <si>
    <t xml:space="preserve">The curator of the Louvre is found murdered in the Grand Gallery, his body posed like a Leonardo drawing and a cipher scrawled beside him. Harvard symbologist Robert Langdon and cryptologist Sophie Neveu follow a trail of codes through Paris and London toward a secret that a shadowy group will kill to protect. Short chapters, cliffhangers and conspiracies: the ultimate airport thriller.</t>
  </si>
  <si>
    <t xml:space="preserve">The Hunger Games</t>
  </si>
  <si>
    <t xml:space="preserve">Suzanne Collins</t>
  </si>
  <si>
    <t xml:space="preserve">YA</t>
  </si>
  <si>
    <t xml:space="preserve">survival, inequality, media</t>
  </si>
  <si>
    <t xml:space="preserve">In Panem, built on the ruins of North America, the Capitol forces each of its twelve districts to send two teenagers every year to fight to the death in a televised arena. When her little sister's name is drawn, sixteen-year-old Katniss Everdeen of District 12 volunteers to take her place. A breathless survival story that is also a sharp satire of spectacle and inequality.</t>
  </si>
  <si>
    <t xml:space="preserve">The Book Thief</t>
  </si>
  <si>
    <t xml:space="preserve">Markus Zusak</t>
  </si>
  <si>
    <t xml:space="preserve">words, war, kindness</t>
  </si>
  <si>
    <t xml:space="preserve">Narrated by Death, who finds himself unexpectedly fond of her, this is the story of Liesel Meminger, a foster girl on Himmel Street in a small town outside Munich in Nazi Germany. She steals books, learns to read with her accordion-playing foster father, and shares them with the Jewish man hidden in the basement. A story about the power of words, at a time when words were being used to destroy.</t>
  </si>
  <si>
    <t xml:space="preserve">A Game of Thrones</t>
  </si>
  <si>
    <t xml:space="preserve">George R. R. Martin</t>
  </si>
  <si>
    <t xml:space="preserve">power, family, honour</t>
  </si>
  <si>
    <t xml:space="preserve">In the Seven Kingdoms of Westeros, where summers and winters last for years, Lord Eddard Stark is summoned south to serve his old friend the king and walks into a court of ambitious, ruthless families. Beyond the Wall in the frozen north something ancient is stirring, and across the sea the last daughter of a deposed dynasty is coming of age. Epic fantasy that plays by the rules of real politics, which is to say that nobody is safe.</t>
  </si>
  <si>
    <t xml:space="preserve">Wolf Hall</t>
  </si>
  <si>
    <t xml:space="preserve">Hilary Mantel</t>
  </si>
  <si>
    <t xml:space="preserve">power, ambition, loyalty</t>
  </si>
  <si>
    <t xml:space="preserve">Thomas Cromwell, son of a brutal Putney blacksmith, has made himself the most capable man in England by the time Henry VIII decides he must set aside Katherine of Aragon and marry Anne Boleyn. Mantel puts us inside Cromwell's head — wry, watchful and quietly ruthless — as he manoeuvres through a court where one mistake can cost you your head. The Booker winner that opens a trilogy.</t>
  </si>
  <si>
    <t xml:space="preserve">The Shadow of the Wind</t>
  </si>
  <si>
    <t xml:space="preserve">Carlos Ruiz Zafón</t>
  </si>
  <si>
    <t xml:space="preserve">books, memory, love</t>
  </si>
  <si>
    <t xml:space="preserve">Barcelona, 1945. A bookseller takes his young son Daniel to the Cemetery of Forgotten Books, a secret labyrinthine library, and lets him choose one book to protect for life. Daniel picks The Shadow of the Wind by Julián Carax, and soon learns that a mysterious stranger has been hunting down and burning every copy of Carax's work. A Gothic, romantic mystery soaked in love for books.</t>
  </si>
  <si>
    <t xml:space="preserve">Normal People</t>
  </si>
  <si>
    <t xml:space="preserve">Sally Rooney</t>
  </si>
  <si>
    <t xml:space="preserve">love, class, intimacy</t>
  </si>
  <si>
    <t xml:space="preserve">Connell is a popular footballer and Marianne a prickly loner at the same school in small-town County Sligo; his mother cleans her family's house. They begin a secret relationship, and over the following years at Trinity College Dublin they drift apart and back together, again and again, unable to say what they mean. Rooney writes intimacy, class and miscommunication with unnerving accuracy.</t>
  </si>
  <si>
    <t xml:space="preserve">Where the Crawdads Sing</t>
  </si>
  <si>
    <t xml:space="preserve">Delia Owens</t>
  </si>
  <si>
    <t xml:space="preserve">loneliness, nature, prejudice</t>
  </si>
  <si>
    <t xml:space="preserve">Abandoned by her family one by one, Kya Clark grows up alone in a shack in the North Carolina marshes, the 'Marsh Girl' of the townsfolk of Barkley Cove, learning everything she knows from the gulls, the tides and the shells. When the town's golden boy is found dead in 1969, suspicion falls on her. Part coming-of-age story, part courtroom mystery, part love letter to the wild.</t>
  </si>
  <si>
    <t xml:space="preserve">The Art of War</t>
  </si>
  <si>
    <t xml:space="preserve">Sun Tzu</t>
  </si>
  <si>
    <t xml:space="preserve">c. 5th century BC</t>
  </si>
  <si>
    <t xml:space="preserve">strategy, leadership, conflict</t>
  </si>
  <si>
    <t xml:space="preserve">Thirteen short chapters on strategy attributed to the ancient Chinese general Sun Tzu: know your enemy and know yourself, win without fighting, attack where they are unprepared. Written for warring states, it has since been taken up by generals, CEOs, coaches and anyone who negotiates for a living. Quick to read, slow to finish thinking about.</t>
  </si>
  <si>
    <t xml:space="preserve">The Prince</t>
  </si>
  <si>
    <t xml:space="preserve">Niccolò Machiavelli</t>
  </si>
  <si>
    <t xml:space="preserve">power, politics, pragmatism</t>
  </si>
  <si>
    <t xml:space="preserve">Written by a Florentine diplomat out of a job, The Prince is a short handbook on how to win power and keep it: whether it is better to be loved or feared, when a ruler must break his word, why fortune favours the bold. Machiavelli's cool realism scandalised Europe and gave us the word 'Machiavellian'. Still read by politicians, executives and anyone who wonders how power really works.</t>
  </si>
  <si>
    <t xml:space="preserve">The Wealth of Nations</t>
  </si>
  <si>
    <t xml:space="preserve">Adam Smith</t>
  </si>
  <si>
    <t xml:space="preserve">economics, markets, labour</t>
  </si>
  <si>
    <t xml:space="preserve">Adam Smith's great inquiry into why some nations grow rich: the division of labour, beginning with a pin factory; the 'invisible hand' of self-interest; the case for free trade; and the dangers of monopolies and of merchants who conspire against the public. The founding text of economics — more humane, and more suspicious of business, than its reputation suggests.</t>
  </si>
  <si>
    <t xml:space="preserve">On the Origin of Species</t>
  </si>
  <si>
    <t xml:space="preserve">Charles Darwin</t>
  </si>
  <si>
    <t xml:space="preserve">evolution, nature, science</t>
  </si>
  <si>
    <t xml:space="preserve">After decades of observation, from the Galápagos to the pigeon lofts of England, Charles Darwin set out his theory that species are not fixed but evolve, shaped over immense spans of time by natural selection. Written for the general Victorian reader, it remains clear, careful and patient, and it changed the way human beings understand themselves.</t>
  </si>
  <si>
    <t xml:space="preserve">The Diary of a Young Girl</t>
  </si>
  <si>
    <t xml:space="preserve">Anne Frank</t>
  </si>
  <si>
    <t xml:space="preserve">hope, war, adolescence</t>
  </si>
  <si>
    <t xml:space="preserve">In June 1942 Anne Frank is given a diary for her thirteenth birthday. Weeks later her Jewish family goes into hiding from the Nazis in the secret annex behind her father's Amsterdam office. For two years she writes about quarrels, first love, her hopes of becoming a writer and the constant fear of discovery, with startling wit and honesty. One of the most important books to come out of the Second World War.</t>
  </si>
  <si>
    <t xml:space="preserve">Night</t>
  </si>
  <si>
    <t xml:space="preserve">Elie Wiesel</t>
  </si>
  <si>
    <t xml:space="preserve">survival, faith, memory</t>
  </si>
  <si>
    <t xml:space="preserve">In 1944 fifteen-year-old Elie Wiesel and his family are deported from their town in Transylvania to Auschwitz, and later to Buchenwald. In little more than a hundred pages he describes the selections, the death marches, his struggle to keep his father alive and the death of his faith. A Nobel Peace laureate's testimony: spare and unforgettable.</t>
  </si>
  <si>
    <t xml:space="preserve">Silent Spring</t>
  </si>
  <si>
    <t xml:space="preserve">Rachel Carson</t>
  </si>
  <si>
    <t xml:space="preserve">environment, science, responsibility</t>
  </si>
  <si>
    <t xml:space="preserve">The marine biologist Rachel Carson documented how DDT and other synthetic pesticides, sprayed indiscriminately across America, were poisoning birds, fish, soil and people, opening with the fable of a town where no birds sing. The chemical industry attacked her ferociously; the book led to restrictions on DDT and helped launch the modern environmental movement.</t>
  </si>
  <si>
    <t xml:space="preserve">A Brief History of Time</t>
  </si>
  <si>
    <t xml:space="preserve">Stephen Hawking</t>
  </si>
  <si>
    <t xml:space="preserve">cosmology, time, science</t>
  </si>
  <si>
    <t xml:space="preserve">Stephen Hawking sets out to explain, with a single equation, the biggest questions in physics: how the universe began, what black holes are, whether time can run backwards and how it might all end. Famously bought by millions and finished by fewer, it is in fact a clear and witty guide for the curious non-scientist.</t>
  </si>
  <si>
    <t xml:space="preserve">Guns, Germs, and Steel</t>
  </si>
  <si>
    <t xml:space="preserve">Jared Diamond</t>
  </si>
  <si>
    <t xml:space="preserve">geography, civilisation, inequality</t>
  </si>
  <si>
    <t xml:space="preserve">Why did Eurasian societies conquer the Americas, Africa and Australia, and not the other way round? Jared Diamond's Pulitzer-winning answer has nothing to do with race and everything to do with geography — which crops and animals could be domesticated, which way the continents run, and which germs travelled with them. Sweeping, argumentative and contested, it changed how a generation thinks about world history.</t>
  </si>
  <si>
    <t xml:space="preserve">The Selfish Gene</t>
  </si>
  <si>
    <t xml:space="preserve">Richard Dawkins</t>
  </si>
  <si>
    <t xml:space="preserve">evolution, biology, behaviour</t>
  </si>
  <si>
    <t xml:space="preserve">Richard Dawkins argues that evolution is best understood from the gene's point of view, with bodies as 'survival machines' built by genes to copy themselves. From there he explains altruism, selfishness and family, and coins a new word — 'meme' — for ideas that replicate. Clear, provocative and still argued over.</t>
  </si>
  <si>
    <t xml:space="preserve">How to Win Friends and Influence People</t>
  </si>
  <si>
    <t xml:space="preserve">Dale Carnegie</t>
  </si>
  <si>
    <t xml:space="preserve">hopeful</t>
  </si>
  <si>
    <t xml:space="preserve">communication, influence, self-improvement</t>
  </si>
  <si>
    <t xml:space="preserve">Dale Carnegie's plain-spoken guide to getting along with people: remember names, listen more than you talk, don't criticise, let the other person save face. Built from anecdotes about Lincoln, salesmen and ordinary folk, it is the grandfather of the self-help shelf and has sold tens of millions of copies. Dated in places, still uncannily useful.</t>
  </si>
  <si>
    <t xml:space="preserve">The 7 Habits of Highly Effective People</t>
  </si>
  <si>
    <t xml:space="preserve">Stephen R. Covey</t>
  </si>
  <si>
    <t xml:space="preserve">habits, leadership, character</t>
  </si>
  <si>
    <t xml:space="preserve">Stephen Covey's principle-based framework for personal and professional effectiveness: be proactive, begin with the end in mind, put first things first, think win-win, seek first to understand, synergise, and sharpen the saw. Less a bag of tips than an argument that character matters more than technique. A fixture of corporate training rooms for over thirty years.</t>
  </si>
  <si>
    <t xml:space="preserve">Atomic Habits</t>
  </si>
  <si>
    <t xml:space="preserve">James Clear</t>
  </si>
  <si>
    <t xml:space="preserve">habits, productivity, self-improvement</t>
  </si>
  <si>
    <t xml:space="preserve">James Clear argues that tiny improvements — one percent at a time — compound into remarkable results, and that good habits come from systems, not willpower. He lays out four simple laws: make it obvious, attractive, easy and satisfying. Practical, readable and full of examples from sport, business and science; the defining habit book of its decade.</t>
  </si>
  <si>
    <t xml:space="preserve">The Immortal Life of Henrietta Lacks</t>
  </si>
  <si>
    <t xml:space="preserve">Rebecca Skloot</t>
  </si>
  <si>
    <t xml:space="preserve">medical ethics, race, family</t>
  </si>
  <si>
    <t xml:space="preserve">In 1951 doctors at Johns Hopkins took cells from the cervical tumour of Henrietta Lacks, a poor Black tobacco farmer, without her knowledge. Her cells — HeLa — became the first immortal human cell line and helped develop the polio vaccine and much else, while her family did not learn of it for decades. Skloot weaves science, medical ethics and the Lacks family's story into one gripping book.</t>
  </si>
  <si>
    <t xml:space="preserve">In Cold Blood</t>
  </si>
  <si>
    <t xml:space="preserve">Truman Capote</t>
  </si>
  <si>
    <t xml:space="preserve">violence, justice, America</t>
  </si>
  <si>
    <t xml:space="preserve">In November 1959 four members of the Clutter family were murdered in their farmhouse in Holcomb, Kansas. Truman Capote spent six years researching the crime, the town and the two drifters who committed it, and wrote it up with the techniques of a novelist. The book that invented modern true crime — and raised questions about its ethics that have never gone away.</t>
  </si>
  <si>
    <t xml:space="preserve">Long Walk to Freedom</t>
  </si>
  <si>
    <t xml:space="preserve">Nelson Mandela</t>
  </si>
  <si>
    <t xml:space="preserve">freedom, justice, perseverance</t>
  </si>
  <si>
    <t xml:space="preserve">Nelson Mandela's autobiography, begun in secret on Robben Island, follows him from a herd boy in the Transkei to a young lawyer in Johannesburg, the armed struggle against apartheid, twenty-seven years in prison and his election as South Africa's first democratic president. Measured, dignified and moving: the story of a man who refused to hate.</t>
  </si>
  <si>
    <t xml:space="preserve">The Autobiography of Malcolm X</t>
  </si>
  <si>
    <t xml:space="preserve">Malcolm X with Alex Haley</t>
  </si>
  <si>
    <t xml:space="preserve">identity, race, transformation</t>
  </si>
  <si>
    <t xml:space="preserve">Told to the journalist Alex Haley in the last years of his life, this is Malcolm Little's journey from a childhood scarred by racist violence to hustling in Harlem, prison, conversion to the Nation of Islam, his break with it, and the pilgrimage to Mecca that transformed his views — ending with his assassination in 1965. Blistering, self-questioning and still essential.</t>
  </si>
  <si>
    <t xml:space="preserve">I Know Why the Caged Bird Sings</t>
  </si>
  <si>
    <t xml:space="preserve">Maya Angelou</t>
  </si>
  <si>
    <t xml:space="preserve">resilience, identity, voice</t>
  </si>
  <si>
    <t xml:space="preserve">Maya Angelou's first memoir follows her childhood in segregated Stamps, Arkansas, raised by her grandmother; the trauma that left her almost mute for years; the woman who brought her back through poetry; and her coming of age in San Francisco. Lyrical, frank and full of resilience, it opened the door for Black women's autobiography.</t>
  </si>
  <si>
    <t xml:space="preserve">The Intelligent Investor</t>
  </si>
  <si>
    <t xml:space="preserve">Benjamin Graham</t>
  </si>
  <si>
    <t xml:space="preserve">investing, discipline, value</t>
  </si>
  <si>
    <t xml:space="preserve">Benjamin Graham, the father of value investing and Warren Buffett's teacher, explains how to invest without losing your shirt: insist on a margin of safety, treat a share as part of a real business, and let the manic 'Mr Market' work for you rather than against you. Buffett has called it by far the best book about investing ever written.</t>
  </si>
  <si>
    <t xml:space="preserve">Catalogue summary by genre</t>
  </si>
  <si>
    <t xml:space="preserve">No. of titles</t>
  </si>
  <si>
    <t xml:space="preserve">Avg wholesale cost ($)</t>
  </si>
  <si>
    <t xml:space="preserve">Avg shop price ($)</t>
  </si>
  <si>
    <t xml:space="preserve">Total</t>
  </si>
  <si>
    <t xml:space="preserve">Notes on this workbook</t>
  </si>
  <si>
    <t xml:space="preserve">Source: the BOOKS catalogue and RATINGS table in index.html of the Book_Game repository (Corner Books prototype).</t>
  </si>
  <si>
    <t xml:space="preserve">Wholesale cost is the price the shop pays the distributor in-game; stock is bought two copies at a time.</t>
  </si>
  <si>
    <t xml:space="preserve">Shop price is the game's automatic price: round(cost × markup) − $0.10. Change the markup on the Books sheet (C2) to re-price.</t>
  </si>
  <si>
    <t xml:space="preserve">Reader ratings are approximate real-world aggregates (Goodreads/StoryGraph-style) frozen in the game — representative, not current.</t>
  </si>
  <si>
    <t xml:space="preserve">Moods, pace, weight and themes are the game's tags used to match customers to books.</t>
  </si>
  <si>
    <t xml:space="preserve">Year: ancient works carry an approximate date as text (e.g. 'c. 8th century BC').</t>
  </si>
  <si>
    <t xml:space="preserve">Total titles: 123.</t>
  </si>
</sst>
</file>

<file path=xl/styles.xml><?xml version="1.0" encoding="utf-8"?>
<styleSheet xmlns="http://schemas.openxmlformats.org/spreadsheetml/2006/main">
  <numFmts count="6">
    <numFmt numFmtId="164" formatCode="General"/>
    <numFmt numFmtId="165" formatCode="0.00\x"/>
    <numFmt numFmtId="166" formatCode="\$#,##0.00"/>
    <numFmt numFmtId="167" formatCode="0.00"/>
    <numFmt numFmtId="168" formatCode="#,##0"/>
    <numFmt numFmtId="169"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sz val="10"/>
      <color rgb="FF0000FF"/>
      <name val="Arial"/>
      <family val="0"/>
      <charset val="1"/>
    </font>
    <font>
      <i val="true"/>
      <sz val="9"/>
      <color rgb="FF666666"/>
      <name val="Arial"/>
      <family val="0"/>
      <charset val="1"/>
    </font>
    <font>
      <b val="true"/>
      <sz val="10"/>
      <color rgb="FFFFFFFF"/>
      <name val="Arial"/>
      <family val="0"/>
      <charset val="1"/>
    </font>
    <font>
      <sz val="10"/>
      <name val="Arial"/>
      <family val="2"/>
    </font>
    <font>
      <sz val="10"/>
      <color rgb="FF000000"/>
      <name val="Arial"/>
      <family val="0"/>
      <charset val="1"/>
    </font>
    <font>
      <sz val="10"/>
      <color rgb="FF008000"/>
      <name val="Arial"/>
      <family val="0"/>
      <charset val="1"/>
    </font>
    <font>
      <b val="true"/>
      <sz val="1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3A5A40"/>
        <bgColor rgb="FF666666"/>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67" fontId="12"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A5A4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A5A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26"/>
    <col collapsed="false" customWidth="true" hidden="false" outlineLevel="0" max="4" min="4" style="0" width="14"/>
    <col collapsed="false" customWidth="true" hidden="false" outlineLevel="0" max="5" min="5" style="0" width="12"/>
    <col collapsed="false" customWidth="true" hidden="false" outlineLevel="0" max="6" min="6" style="0" width="26"/>
    <col collapsed="false" customWidth="true" hidden="false" outlineLevel="0" max="8" min="7" style="0" width="9"/>
    <col collapsed="false" customWidth="true" hidden="false" outlineLevel="0" max="9" min="9" style="0" width="32"/>
    <col collapsed="false" customWidth="true" hidden="false" outlineLevel="0" max="11" min="10" style="0" width="12"/>
    <col collapsed="false" customWidth="true" hidden="false" outlineLevel="0" max="12" min="12" style="0" width="11"/>
    <col collapsed="false" customWidth="true" hidden="false" outlineLevel="0" max="13" min="13" style="0" width="13"/>
    <col collapsed="false" customWidth="true" hidden="false" outlineLevel="0" max="14" min="14" style="0" width="90"/>
  </cols>
  <sheetData>
    <row r="1" customFormat="false" ht="17.35" hidden="false" customHeight="false" outlineLevel="0" collapsed="false">
      <c r="A1" s="1" t="s">
        <v>0</v>
      </c>
    </row>
    <row r="2" customFormat="false" ht="15" hidden="false" customHeight="false" outlineLevel="0" collapsed="false">
      <c r="A2" s="2" t="s">
        <v>1</v>
      </c>
      <c r="C2" s="3" t="n">
        <v>1.45</v>
      </c>
      <c r="D2" s="4" t="s">
        <v>2</v>
      </c>
    </row>
    <row r="4" customFormat="false" ht="30" hidden="false" customHeight="true" outlineLevel="0" collapsed="false">
      <c r="A4" s="5" t="s">
        <v>3</v>
      </c>
      <c r="B4" s="5" t="s">
        <v>4</v>
      </c>
      <c r="C4" s="5" t="s">
        <v>5</v>
      </c>
      <c r="D4" s="5" t="s">
        <v>6</v>
      </c>
      <c r="E4" s="5" t="s">
        <v>7</v>
      </c>
      <c r="F4" s="5" t="s">
        <v>8</v>
      </c>
      <c r="G4" s="5" t="s">
        <v>9</v>
      </c>
      <c r="H4" s="5" t="s">
        <v>10</v>
      </c>
      <c r="I4" s="5" t="s">
        <v>11</v>
      </c>
      <c r="J4" s="5" t="s">
        <v>12</v>
      </c>
      <c r="K4" s="5" t="s">
        <v>13</v>
      </c>
      <c r="L4" s="5" t="s">
        <v>14</v>
      </c>
      <c r="M4" s="5" t="s">
        <v>15</v>
      </c>
      <c r="N4" s="5" t="s">
        <v>16</v>
      </c>
    </row>
    <row r="5" customFormat="false" ht="46.25" hidden="false" customHeight="false" outlineLevel="0" collapsed="false">
      <c r="A5" s="6" t="n">
        <v>1</v>
      </c>
      <c r="B5" s="6" t="s">
        <v>17</v>
      </c>
      <c r="C5" s="6" t="s">
        <v>18</v>
      </c>
      <c r="D5" s="7" t="n">
        <v>2005</v>
      </c>
      <c r="E5" s="6" t="s">
        <v>19</v>
      </c>
      <c r="F5" s="6" t="s">
        <v>20</v>
      </c>
      <c r="G5" s="6" t="s">
        <v>21</v>
      </c>
      <c r="H5" s="6" t="s">
        <v>22</v>
      </c>
      <c r="I5" s="6" t="s">
        <v>23</v>
      </c>
      <c r="J5" s="8" t="n">
        <v>29</v>
      </c>
      <c r="K5" s="8" t="n">
        <f aca="false">ROUND(J5*$C$2,0)-0.1</f>
        <v>41.9</v>
      </c>
      <c r="L5" s="9" t="n">
        <v>3.99</v>
      </c>
      <c r="M5" s="10" t="n">
        <v>950000</v>
      </c>
      <c r="N5" s="11" t="s">
        <v>24</v>
      </c>
    </row>
    <row r="6" customFormat="false" ht="46.25" hidden="false" customHeight="false" outlineLevel="0" collapsed="false">
      <c r="A6" s="6" t="n">
        <v>2</v>
      </c>
      <c r="B6" s="6" t="s">
        <v>25</v>
      </c>
      <c r="C6" s="6" t="s">
        <v>18</v>
      </c>
      <c r="D6" s="7" t="n">
        <v>1989</v>
      </c>
      <c r="E6" s="6" t="s">
        <v>19</v>
      </c>
      <c r="F6" s="6" t="s">
        <v>20</v>
      </c>
      <c r="G6" s="6" t="s">
        <v>21</v>
      </c>
      <c r="H6" s="6" t="s">
        <v>22</v>
      </c>
      <c r="I6" s="6" t="s">
        <v>26</v>
      </c>
      <c r="J6" s="8" t="n">
        <v>28</v>
      </c>
      <c r="K6" s="8" t="n">
        <f aca="false">ROUND(J6*$C$2,0)-0.1</f>
        <v>40.9</v>
      </c>
      <c r="L6" s="9" t="n">
        <v>4.09</v>
      </c>
      <c r="M6" s="10" t="n">
        <v>350000</v>
      </c>
      <c r="N6" s="11" t="s">
        <v>27</v>
      </c>
    </row>
    <row r="7" customFormat="false" ht="46.25" hidden="false" customHeight="false" outlineLevel="0" collapsed="false">
      <c r="A7" s="6" t="n">
        <v>3</v>
      </c>
      <c r="B7" s="6" t="s">
        <v>28</v>
      </c>
      <c r="C7" s="6" t="s">
        <v>18</v>
      </c>
      <c r="D7" s="7" t="n">
        <v>2021</v>
      </c>
      <c r="E7" s="6" t="s">
        <v>19</v>
      </c>
      <c r="F7" s="6" t="s">
        <v>29</v>
      </c>
      <c r="G7" s="6" t="s">
        <v>21</v>
      </c>
      <c r="H7" s="6" t="s">
        <v>22</v>
      </c>
      <c r="I7" s="6" t="s">
        <v>30</v>
      </c>
      <c r="J7" s="8" t="n">
        <v>32</v>
      </c>
      <c r="K7" s="8" t="n">
        <f aca="false">ROUND(J7*$C$2,0)-0.1</f>
        <v>45.9</v>
      </c>
      <c r="L7" s="9" t="n">
        <v>3.98</v>
      </c>
      <c r="M7" s="10" t="n">
        <v>320000</v>
      </c>
      <c r="N7" s="11" t="s">
        <v>31</v>
      </c>
    </row>
    <row r="8" customFormat="false" ht="46.25" hidden="false" customHeight="false" outlineLevel="0" collapsed="false">
      <c r="A8" s="6" t="n">
        <v>4</v>
      </c>
      <c r="B8" s="6" t="s">
        <v>32</v>
      </c>
      <c r="C8" s="6" t="s">
        <v>33</v>
      </c>
      <c r="D8" s="7" t="n">
        <v>1987</v>
      </c>
      <c r="E8" s="6" t="s">
        <v>19</v>
      </c>
      <c r="F8" s="6" t="s">
        <v>34</v>
      </c>
      <c r="G8" s="6" t="s">
        <v>21</v>
      </c>
      <c r="H8" s="6" t="s">
        <v>35</v>
      </c>
      <c r="I8" s="6" t="s">
        <v>36</v>
      </c>
      <c r="J8" s="8" t="n">
        <v>31</v>
      </c>
      <c r="K8" s="8" t="n">
        <f aca="false">ROUND(J8*$C$2,0)-0.1</f>
        <v>44.9</v>
      </c>
      <c r="L8" s="9" t="n">
        <v>3.87</v>
      </c>
      <c r="M8" s="10" t="n">
        <v>420000</v>
      </c>
      <c r="N8" s="11" t="s">
        <v>37</v>
      </c>
    </row>
    <row r="9" customFormat="false" ht="35.05" hidden="false" customHeight="false" outlineLevel="0" collapsed="false">
      <c r="A9" s="6" t="n">
        <v>5</v>
      </c>
      <c r="B9" s="6" t="s">
        <v>38</v>
      </c>
      <c r="C9" s="6" t="s">
        <v>39</v>
      </c>
      <c r="D9" s="7" t="n">
        <v>1987</v>
      </c>
      <c r="E9" s="6" t="s">
        <v>19</v>
      </c>
      <c r="F9" s="6" t="s">
        <v>20</v>
      </c>
      <c r="G9" s="6" t="s">
        <v>40</v>
      </c>
      <c r="H9" s="6" t="s">
        <v>22</v>
      </c>
      <c r="I9" s="6" t="s">
        <v>41</v>
      </c>
      <c r="J9" s="8" t="n">
        <v>30</v>
      </c>
      <c r="K9" s="8" t="n">
        <f aca="false">ROUND(J9*$C$2,0)-0.1</f>
        <v>43.9</v>
      </c>
      <c r="L9" s="9" t="n">
        <v>4.04</v>
      </c>
      <c r="M9" s="10" t="n">
        <v>520000</v>
      </c>
      <c r="N9" s="11" t="s">
        <v>42</v>
      </c>
    </row>
    <row r="10" customFormat="false" ht="46.25" hidden="false" customHeight="false" outlineLevel="0" collapsed="false">
      <c r="A10" s="6" t="n">
        <v>6</v>
      </c>
      <c r="B10" s="6" t="s">
        <v>43</v>
      </c>
      <c r="C10" s="6" t="s">
        <v>39</v>
      </c>
      <c r="D10" s="7" t="n">
        <v>2002</v>
      </c>
      <c r="E10" s="6" t="s">
        <v>19</v>
      </c>
      <c r="F10" s="6" t="s">
        <v>44</v>
      </c>
      <c r="G10" s="6" t="s">
        <v>40</v>
      </c>
      <c r="H10" s="6" t="s">
        <v>22</v>
      </c>
      <c r="I10" s="6" t="s">
        <v>45</v>
      </c>
      <c r="J10" s="8" t="n">
        <v>33</v>
      </c>
      <c r="K10" s="8" t="n">
        <f aca="false">ROUND(J10*$C$2,0)-0.1</f>
        <v>47.9</v>
      </c>
      <c r="L10" s="9" t="n">
        <v>4.11</v>
      </c>
      <c r="M10" s="10" t="n">
        <v>480000</v>
      </c>
      <c r="N10" s="11" t="s">
        <v>46</v>
      </c>
    </row>
    <row r="11" customFormat="false" ht="46.25" hidden="false" customHeight="false" outlineLevel="0" collapsed="false">
      <c r="A11" s="6" t="n">
        <v>7</v>
      </c>
      <c r="B11" s="6" t="s">
        <v>47</v>
      </c>
      <c r="C11" s="6" t="s">
        <v>48</v>
      </c>
      <c r="D11" s="7" t="n">
        <v>1967</v>
      </c>
      <c r="E11" s="6" t="s">
        <v>19</v>
      </c>
      <c r="F11" s="6" t="s">
        <v>49</v>
      </c>
      <c r="G11" s="6" t="s">
        <v>21</v>
      </c>
      <c r="H11" s="6" t="s">
        <v>35</v>
      </c>
      <c r="I11" s="6" t="s">
        <v>50</v>
      </c>
      <c r="J11" s="8" t="n">
        <v>34</v>
      </c>
      <c r="K11" s="8" t="n">
        <f aca="false">ROUND(J11*$C$2,0)-0.1</f>
        <v>48.9</v>
      </c>
      <c r="L11" s="9" t="n">
        <v>4.11</v>
      </c>
      <c r="M11" s="10" t="n">
        <v>850000</v>
      </c>
      <c r="N11" s="11" t="s">
        <v>51</v>
      </c>
    </row>
    <row r="12" customFormat="false" ht="46.25" hidden="false" customHeight="false" outlineLevel="0" collapsed="false">
      <c r="A12" s="6" t="n">
        <v>8</v>
      </c>
      <c r="B12" s="6" t="s">
        <v>52</v>
      </c>
      <c r="C12" s="6" t="s">
        <v>53</v>
      </c>
      <c r="D12" s="7" t="n">
        <v>1997</v>
      </c>
      <c r="E12" s="6" t="s">
        <v>19</v>
      </c>
      <c r="F12" s="6" t="s">
        <v>54</v>
      </c>
      <c r="G12" s="6" t="s">
        <v>21</v>
      </c>
      <c r="H12" s="6" t="s">
        <v>35</v>
      </c>
      <c r="I12" s="6" t="s">
        <v>55</v>
      </c>
      <c r="J12" s="8" t="n">
        <v>30</v>
      </c>
      <c r="K12" s="8" t="n">
        <f aca="false">ROUND(J12*$C$2,0)-0.1</f>
        <v>43.9</v>
      </c>
      <c r="L12" s="9" t="n">
        <v>3.9</v>
      </c>
      <c r="M12" s="10" t="n">
        <v>210000</v>
      </c>
      <c r="N12" s="11" t="s">
        <v>56</v>
      </c>
    </row>
    <row r="13" customFormat="false" ht="46.25" hidden="false" customHeight="false" outlineLevel="0" collapsed="false">
      <c r="A13" s="6" t="n">
        <v>9</v>
      </c>
      <c r="B13" s="6" t="s">
        <v>57</v>
      </c>
      <c r="C13" s="6" t="s">
        <v>58</v>
      </c>
      <c r="D13" s="7" t="n">
        <v>1958</v>
      </c>
      <c r="E13" s="6" t="s">
        <v>19</v>
      </c>
      <c r="F13" s="6" t="s">
        <v>20</v>
      </c>
      <c r="G13" s="6" t="s">
        <v>40</v>
      </c>
      <c r="H13" s="6" t="s">
        <v>22</v>
      </c>
      <c r="I13" s="6" t="s">
        <v>59</v>
      </c>
      <c r="J13" s="8" t="n">
        <v>26</v>
      </c>
      <c r="K13" s="8" t="n">
        <f aca="false">ROUND(J13*$C$2,0)-0.1</f>
        <v>37.9</v>
      </c>
      <c r="L13" s="9" t="n">
        <v>3.76</v>
      </c>
      <c r="M13" s="10" t="n">
        <v>280000</v>
      </c>
      <c r="N13" s="11" t="s">
        <v>60</v>
      </c>
    </row>
    <row r="14" customFormat="false" ht="46.25" hidden="false" customHeight="false" outlineLevel="0" collapsed="false">
      <c r="A14" s="6" t="n">
        <v>10</v>
      </c>
      <c r="B14" s="6" t="s">
        <v>61</v>
      </c>
      <c r="C14" s="6" t="s">
        <v>62</v>
      </c>
      <c r="D14" s="7" t="n">
        <v>2017</v>
      </c>
      <c r="E14" s="6" t="s">
        <v>19</v>
      </c>
      <c r="F14" s="6" t="s">
        <v>29</v>
      </c>
      <c r="G14" s="6" t="s">
        <v>40</v>
      </c>
      <c r="H14" s="6" t="s">
        <v>35</v>
      </c>
      <c r="I14" s="6" t="s">
        <v>63</v>
      </c>
      <c r="J14" s="8" t="n">
        <v>35</v>
      </c>
      <c r="K14" s="8" t="n">
        <f aca="false">ROUND(J14*$C$2,0)-0.1</f>
        <v>50.9</v>
      </c>
      <c r="L14" s="9" t="n">
        <v>4.32</v>
      </c>
      <c r="M14" s="10" t="n">
        <v>650000</v>
      </c>
      <c r="N14" s="11" t="s">
        <v>64</v>
      </c>
    </row>
    <row r="15" customFormat="false" ht="46.25" hidden="false" customHeight="false" outlineLevel="0" collapsed="false">
      <c r="A15" s="6" t="n">
        <v>11</v>
      </c>
      <c r="B15" s="6" t="s">
        <v>65</v>
      </c>
      <c r="C15" s="6" t="s">
        <v>66</v>
      </c>
      <c r="D15" s="7" t="n">
        <v>2012</v>
      </c>
      <c r="E15" s="6" t="s">
        <v>67</v>
      </c>
      <c r="F15" s="6" t="s">
        <v>68</v>
      </c>
      <c r="G15" s="6" t="s">
        <v>69</v>
      </c>
      <c r="H15" s="6" t="s">
        <v>22</v>
      </c>
      <c r="I15" s="6" t="s">
        <v>70</v>
      </c>
      <c r="J15" s="8" t="n">
        <v>29</v>
      </c>
      <c r="K15" s="8" t="n">
        <f aca="false">ROUND(J15*$C$2,0)-0.1</f>
        <v>41.9</v>
      </c>
      <c r="L15" s="9" t="n">
        <v>4.11</v>
      </c>
      <c r="M15" s="10" t="n">
        <v>2800000</v>
      </c>
      <c r="N15" s="11" t="s">
        <v>71</v>
      </c>
    </row>
    <row r="16" customFormat="false" ht="57.45" hidden="false" customHeight="false" outlineLevel="0" collapsed="false">
      <c r="A16" s="6" t="n">
        <v>12</v>
      </c>
      <c r="B16" s="6" t="s">
        <v>72</v>
      </c>
      <c r="C16" s="6" t="s">
        <v>73</v>
      </c>
      <c r="D16" s="7" t="n">
        <v>2005</v>
      </c>
      <c r="E16" s="6" t="s">
        <v>67</v>
      </c>
      <c r="F16" s="6" t="s">
        <v>68</v>
      </c>
      <c r="G16" s="6" t="s">
        <v>69</v>
      </c>
      <c r="H16" s="6" t="s">
        <v>35</v>
      </c>
      <c r="I16" s="6" t="s">
        <v>74</v>
      </c>
      <c r="J16" s="8" t="n">
        <v>30</v>
      </c>
      <c r="K16" s="8" t="n">
        <f aca="false">ROUND(J16*$C$2,0)-0.1</f>
        <v>43.9</v>
      </c>
      <c r="L16" s="9" t="n">
        <v>4.14</v>
      </c>
      <c r="M16" s="10" t="n">
        <v>3200000</v>
      </c>
      <c r="N16" s="11" t="s">
        <v>75</v>
      </c>
    </row>
    <row r="17" customFormat="false" ht="46.25" hidden="false" customHeight="false" outlineLevel="0" collapsed="false">
      <c r="A17" s="6" t="n">
        <v>13</v>
      </c>
      <c r="B17" s="6" t="s">
        <v>76</v>
      </c>
      <c r="C17" s="6" t="s">
        <v>77</v>
      </c>
      <c r="D17" s="7" t="n">
        <v>1939</v>
      </c>
      <c r="E17" s="6" t="s">
        <v>67</v>
      </c>
      <c r="F17" s="6" t="s">
        <v>68</v>
      </c>
      <c r="G17" s="6" t="s">
        <v>69</v>
      </c>
      <c r="H17" s="6" t="s">
        <v>78</v>
      </c>
      <c r="I17" s="6" t="s">
        <v>79</v>
      </c>
      <c r="J17" s="8" t="n">
        <v>24</v>
      </c>
      <c r="K17" s="8" t="n">
        <f aca="false">ROUND(J17*$C$2,0)-0.1</f>
        <v>34.9</v>
      </c>
      <c r="L17" s="9" t="n">
        <v>4.29</v>
      </c>
      <c r="M17" s="10" t="n">
        <v>1300000</v>
      </c>
      <c r="N17" s="11" t="s">
        <v>80</v>
      </c>
    </row>
    <row r="18" customFormat="false" ht="46.25" hidden="false" customHeight="false" outlineLevel="0" collapsed="false">
      <c r="A18" s="6" t="n">
        <v>14</v>
      </c>
      <c r="B18" s="6" t="s">
        <v>81</v>
      </c>
      <c r="C18" s="6" t="s">
        <v>82</v>
      </c>
      <c r="D18" s="7" t="n">
        <v>1939</v>
      </c>
      <c r="E18" s="6" t="s">
        <v>67</v>
      </c>
      <c r="F18" s="6" t="s">
        <v>83</v>
      </c>
      <c r="G18" s="6" t="s">
        <v>69</v>
      </c>
      <c r="H18" s="6" t="s">
        <v>22</v>
      </c>
      <c r="I18" s="6" t="s">
        <v>84</v>
      </c>
      <c r="J18" s="8" t="n">
        <v>25</v>
      </c>
      <c r="K18" s="8" t="n">
        <f aca="false">ROUND(J18*$C$2,0)-0.1</f>
        <v>35.9</v>
      </c>
      <c r="L18" s="9" t="n">
        <v>4.02</v>
      </c>
      <c r="M18" s="10" t="n">
        <v>220000</v>
      </c>
      <c r="N18" s="11" t="s">
        <v>85</v>
      </c>
    </row>
    <row r="19" customFormat="false" ht="46.25" hidden="false" customHeight="false" outlineLevel="0" collapsed="false">
      <c r="A19" s="6" t="n">
        <v>15</v>
      </c>
      <c r="B19" s="6" t="s">
        <v>86</v>
      </c>
      <c r="C19" s="6" t="s">
        <v>87</v>
      </c>
      <c r="D19" s="7" t="n">
        <v>1988</v>
      </c>
      <c r="E19" s="6" t="s">
        <v>67</v>
      </c>
      <c r="F19" s="6" t="s">
        <v>68</v>
      </c>
      <c r="G19" s="6" t="s">
        <v>69</v>
      </c>
      <c r="H19" s="6" t="s">
        <v>22</v>
      </c>
      <c r="I19" s="6" t="s">
        <v>88</v>
      </c>
      <c r="J19" s="8" t="n">
        <v>27</v>
      </c>
      <c r="K19" s="8" t="n">
        <f aca="false">ROUND(J19*$C$2,0)-0.1</f>
        <v>38.9</v>
      </c>
      <c r="L19" s="9" t="n">
        <v>4.24</v>
      </c>
      <c r="M19" s="10" t="n">
        <v>470000</v>
      </c>
      <c r="N19" s="11" t="s">
        <v>89</v>
      </c>
    </row>
    <row r="20" customFormat="false" ht="57.45" hidden="false" customHeight="false" outlineLevel="0" collapsed="false">
      <c r="A20" s="6" t="n">
        <v>16</v>
      </c>
      <c r="B20" s="6" t="s">
        <v>90</v>
      </c>
      <c r="C20" s="6" t="s">
        <v>91</v>
      </c>
      <c r="D20" s="7" t="n">
        <v>1965</v>
      </c>
      <c r="E20" s="6" t="s">
        <v>92</v>
      </c>
      <c r="F20" s="6" t="s">
        <v>93</v>
      </c>
      <c r="G20" s="6" t="s">
        <v>40</v>
      </c>
      <c r="H20" s="6" t="s">
        <v>35</v>
      </c>
      <c r="I20" s="6" t="s">
        <v>94</v>
      </c>
      <c r="J20" s="8" t="n">
        <v>36</v>
      </c>
      <c r="K20" s="8" t="n">
        <f aca="false">ROUND(J20*$C$2,0)-0.1</f>
        <v>51.9</v>
      </c>
      <c r="L20" s="9" t="n">
        <v>4.26</v>
      </c>
      <c r="M20" s="10" t="n">
        <v>1400000</v>
      </c>
      <c r="N20" s="11" t="s">
        <v>95</v>
      </c>
    </row>
    <row r="21" customFormat="false" ht="46.25" hidden="false" customHeight="false" outlineLevel="0" collapsed="false">
      <c r="A21" s="6" t="n">
        <v>17</v>
      </c>
      <c r="B21" s="6" t="s">
        <v>96</v>
      </c>
      <c r="C21" s="6" t="s">
        <v>97</v>
      </c>
      <c r="D21" s="7" t="n">
        <v>1969</v>
      </c>
      <c r="E21" s="6" t="s">
        <v>92</v>
      </c>
      <c r="F21" s="6" t="s">
        <v>49</v>
      </c>
      <c r="G21" s="6" t="s">
        <v>21</v>
      </c>
      <c r="H21" s="6" t="s">
        <v>35</v>
      </c>
      <c r="I21" s="6" t="s">
        <v>98</v>
      </c>
      <c r="J21" s="8" t="n">
        <v>30</v>
      </c>
      <c r="K21" s="8" t="n">
        <f aca="false">ROUND(J21*$C$2,0)-0.1</f>
        <v>43.9</v>
      </c>
      <c r="L21" s="9" t="n">
        <v>4.05</v>
      </c>
      <c r="M21" s="10" t="n">
        <v>130000</v>
      </c>
      <c r="N21" s="11" t="s">
        <v>99</v>
      </c>
    </row>
    <row r="22" customFormat="false" ht="46.25" hidden="false" customHeight="false" outlineLevel="0" collapsed="false">
      <c r="A22" s="6" t="n">
        <v>18</v>
      </c>
      <c r="B22" s="6" t="s">
        <v>100</v>
      </c>
      <c r="C22" s="6" t="s">
        <v>101</v>
      </c>
      <c r="D22" s="7" t="n">
        <v>2021</v>
      </c>
      <c r="E22" s="6" t="s">
        <v>92</v>
      </c>
      <c r="F22" s="6" t="s">
        <v>102</v>
      </c>
      <c r="G22" s="6" t="s">
        <v>69</v>
      </c>
      <c r="H22" s="6" t="s">
        <v>22</v>
      </c>
      <c r="I22" s="6" t="s">
        <v>103</v>
      </c>
      <c r="J22" s="8" t="n">
        <v>34</v>
      </c>
      <c r="K22" s="8" t="n">
        <f aca="false">ROUND(J22*$C$2,0)-0.1</f>
        <v>48.9</v>
      </c>
      <c r="L22" s="9" t="n">
        <v>4.51</v>
      </c>
      <c r="M22" s="10" t="n">
        <v>950000</v>
      </c>
      <c r="N22" s="11" t="s">
        <v>104</v>
      </c>
    </row>
    <row r="23" customFormat="false" ht="46.25" hidden="false" customHeight="false" outlineLevel="0" collapsed="false">
      <c r="A23" s="6" t="n">
        <v>19</v>
      </c>
      <c r="B23" s="6" t="s">
        <v>105</v>
      </c>
      <c r="C23" s="6" t="s">
        <v>106</v>
      </c>
      <c r="D23" s="7" t="n">
        <v>2015</v>
      </c>
      <c r="E23" s="6" t="s">
        <v>107</v>
      </c>
      <c r="F23" s="6" t="s">
        <v>108</v>
      </c>
      <c r="G23" s="6" t="s">
        <v>69</v>
      </c>
      <c r="H23" s="6" t="s">
        <v>35</v>
      </c>
      <c r="I23" s="6" t="s">
        <v>109</v>
      </c>
      <c r="J23" s="8" t="n">
        <v>33</v>
      </c>
      <c r="K23" s="8" t="n">
        <f aca="false">ROUND(J23*$C$2,0)-0.1</f>
        <v>47.9</v>
      </c>
      <c r="L23" s="9" t="n">
        <v>4.3</v>
      </c>
      <c r="M23" s="10" t="n">
        <v>240000</v>
      </c>
      <c r="N23" s="11" t="s">
        <v>110</v>
      </c>
    </row>
    <row r="24" customFormat="false" ht="46.25" hidden="false" customHeight="false" outlineLevel="0" collapsed="false">
      <c r="A24" s="6" t="n">
        <v>20</v>
      </c>
      <c r="B24" s="6" t="s">
        <v>111</v>
      </c>
      <c r="C24" s="6" t="s">
        <v>112</v>
      </c>
      <c r="D24" s="7" t="n">
        <v>2020</v>
      </c>
      <c r="E24" s="6" t="s">
        <v>107</v>
      </c>
      <c r="F24" s="6" t="s">
        <v>113</v>
      </c>
      <c r="G24" s="6" t="s">
        <v>40</v>
      </c>
      <c r="H24" s="6" t="s">
        <v>78</v>
      </c>
      <c r="I24" s="6" t="s">
        <v>114</v>
      </c>
      <c r="J24" s="8" t="n">
        <v>29</v>
      </c>
      <c r="K24" s="8" t="n">
        <f aca="false">ROUND(J24*$C$2,0)-0.1</f>
        <v>41.9</v>
      </c>
      <c r="L24" s="9" t="n">
        <v>4.26</v>
      </c>
      <c r="M24" s="10" t="n">
        <v>400000</v>
      </c>
      <c r="N24" s="11" t="s">
        <v>115</v>
      </c>
    </row>
    <row r="25" customFormat="false" ht="46.25" hidden="false" customHeight="false" outlineLevel="0" collapsed="false">
      <c r="A25" s="6" t="n">
        <v>21</v>
      </c>
      <c r="B25" s="6" t="s">
        <v>116</v>
      </c>
      <c r="C25" s="6" t="s">
        <v>117</v>
      </c>
      <c r="D25" s="7" t="n">
        <v>1937</v>
      </c>
      <c r="E25" s="6" t="s">
        <v>107</v>
      </c>
      <c r="F25" s="6" t="s">
        <v>118</v>
      </c>
      <c r="G25" s="6" t="s">
        <v>40</v>
      </c>
      <c r="H25" s="6" t="s">
        <v>78</v>
      </c>
      <c r="I25" s="6" t="s">
        <v>119</v>
      </c>
      <c r="J25" s="8" t="n">
        <v>26</v>
      </c>
      <c r="K25" s="8" t="n">
        <f aca="false">ROUND(J25*$C$2,0)-0.1</f>
        <v>37.9</v>
      </c>
      <c r="L25" s="9" t="n">
        <v>4.29</v>
      </c>
      <c r="M25" s="10" t="n">
        <v>3600000</v>
      </c>
      <c r="N25" s="11" t="s">
        <v>120</v>
      </c>
    </row>
    <row r="26" customFormat="false" ht="57.45" hidden="false" customHeight="false" outlineLevel="0" collapsed="false">
      <c r="A26" s="6" t="n">
        <v>22</v>
      </c>
      <c r="B26" s="6" t="s">
        <v>121</v>
      </c>
      <c r="C26" s="6" t="s">
        <v>122</v>
      </c>
      <c r="D26" s="7" t="n">
        <v>1984</v>
      </c>
      <c r="E26" s="6" t="s">
        <v>92</v>
      </c>
      <c r="F26" s="6" t="s">
        <v>68</v>
      </c>
      <c r="G26" s="6" t="s">
        <v>69</v>
      </c>
      <c r="H26" s="6" t="s">
        <v>35</v>
      </c>
      <c r="I26" s="6" t="s">
        <v>123</v>
      </c>
      <c r="J26" s="8" t="n">
        <v>28</v>
      </c>
      <c r="K26" s="8" t="n">
        <f aca="false">ROUND(J26*$C$2,0)-0.1</f>
        <v>40.9</v>
      </c>
      <c r="L26" s="9" t="n">
        <v>3.9</v>
      </c>
      <c r="M26" s="10" t="n">
        <v>220000</v>
      </c>
      <c r="N26" s="11" t="s">
        <v>124</v>
      </c>
    </row>
    <row r="27" customFormat="false" ht="57.45" hidden="false" customHeight="false" outlineLevel="0" collapsed="false">
      <c r="A27" s="6" t="n">
        <v>23</v>
      </c>
      <c r="B27" s="6" t="s">
        <v>125</v>
      </c>
      <c r="C27" s="6" t="s">
        <v>126</v>
      </c>
      <c r="D27" s="7" t="n">
        <v>1959</v>
      </c>
      <c r="E27" s="6" t="s">
        <v>127</v>
      </c>
      <c r="F27" s="6" t="s">
        <v>34</v>
      </c>
      <c r="G27" s="6" t="s">
        <v>40</v>
      </c>
      <c r="H27" s="6" t="s">
        <v>78</v>
      </c>
      <c r="I27" s="6" t="s">
        <v>128</v>
      </c>
      <c r="J27" s="8" t="n">
        <v>25</v>
      </c>
      <c r="K27" s="8" t="n">
        <f aca="false">ROUND(J27*$C$2,0)-0.1</f>
        <v>35.9</v>
      </c>
      <c r="L27" s="9" t="n">
        <v>4.02</v>
      </c>
      <c r="M27" s="10" t="n">
        <v>130000</v>
      </c>
      <c r="N27" s="11" t="s">
        <v>129</v>
      </c>
    </row>
    <row r="28" customFormat="false" ht="46.25" hidden="false" customHeight="false" outlineLevel="0" collapsed="false">
      <c r="A28" s="6" t="n">
        <v>24</v>
      </c>
      <c r="B28" s="6" t="s">
        <v>130</v>
      </c>
      <c r="C28" s="6" t="s">
        <v>131</v>
      </c>
      <c r="D28" s="7" t="n">
        <v>2020</v>
      </c>
      <c r="E28" s="6" t="s">
        <v>127</v>
      </c>
      <c r="F28" s="6" t="s">
        <v>108</v>
      </c>
      <c r="G28" s="6" t="s">
        <v>69</v>
      </c>
      <c r="H28" s="6" t="s">
        <v>22</v>
      </c>
      <c r="I28" s="6" t="s">
        <v>132</v>
      </c>
      <c r="J28" s="8" t="n">
        <v>30</v>
      </c>
      <c r="K28" s="8" t="n">
        <f aca="false">ROUND(J28*$C$2,0)-0.1</f>
        <v>43.9</v>
      </c>
      <c r="L28" s="9" t="n">
        <v>3.72</v>
      </c>
      <c r="M28" s="10" t="n">
        <v>260000</v>
      </c>
      <c r="N28" s="11" t="s">
        <v>133</v>
      </c>
    </row>
    <row r="29" customFormat="false" ht="46.25" hidden="false" customHeight="false" outlineLevel="0" collapsed="false">
      <c r="A29" s="6" t="n">
        <v>25</v>
      </c>
      <c r="B29" s="6" t="s">
        <v>134</v>
      </c>
      <c r="C29" s="6" t="s">
        <v>135</v>
      </c>
      <c r="D29" s="7" t="n">
        <v>1813</v>
      </c>
      <c r="E29" s="6" t="s">
        <v>136</v>
      </c>
      <c r="F29" s="6" t="s">
        <v>137</v>
      </c>
      <c r="G29" s="6" t="s">
        <v>40</v>
      </c>
      <c r="H29" s="6" t="s">
        <v>78</v>
      </c>
      <c r="I29" s="6" t="s">
        <v>138</v>
      </c>
      <c r="J29" s="8" t="n">
        <v>22</v>
      </c>
      <c r="K29" s="8" t="n">
        <f aca="false">ROUND(J29*$C$2,0)-0.1</f>
        <v>31.9</v>
      </c>
      <c r="L29" s="9" t="n">
        <v>4.29</v>
      </c>
      <c r="M29" s="10" t="n">
        <v>3600000</v>
      </c>
      <c r="N29" s="11" t="s">
        <v>139</v>
      </c>
    </row>
    <row r="30" customFormat="false" ht="46.25" hidden="false" customHeight="false" outlineLevel="0" collapsed="false">
      <c r="A30" s="6" t="n">
        <v>26</v>
      </c>
      <c r="B30" s="6" t="s">
        <v>140</v>
      </c>
      <c r="C30" s="6" t="s">
        <v>141</v>
      </c>
      <c r="D30" s="7" t="n">
        <v>2020</v>
      </c>
      <c r="E30" s="6" t="s">
        <v>136</v>
      </c>
      <c r="F30" s="6" t="s">
        <v>142</v>
      </c>
      <c r="G30" s="6" t="s">
        <v>69</v>
      </c>
      <c r="H30" s="6" t="s">
        <v>78</v>
      </c>
      <c r="I30" s="6" t="s">
        <v>143</v>
      </c>
      <c r="J30" s="8" t="n">
        <v>27</v>
      </c>
      <c r="K30" s="8" t="n">
        <f aca="false">ROUND(J30*$C$2,0)-0.1</f>
        <v>38.9</v>
      </c>
      <c r="L30" s="9" t="n">
        <v>4.02</v>
      </c>
      <c r="M30" s="10" t="n">
        <v>750000</v>
      </c>
      <c r="N30" s="11" t="s">
        <v>144</v>
      </c>
    </row>
    <row r="31" customFormat="false" ht="46.25" hidden="false" customHeight="false" outlineLevel="0" collapsed="false">
      <c r="A31" s="6" t="n">
        <v>27</v>
      </c>
      <c r="B31" s="6" t="s">
        <v>145</v>
      </c>
      <c r="C31" s="6" t="s">
        <v>146</v>
      </c>
      <c r="D31" s="7" t="n">
        <v>2011</v>
      </c>
      <c r="E31" s="6" t="s">
        <v>147</v>
      </c>
      <c r="F31" s="6" t="s">
        <v>148</v>
      </c>
      <c r="G31" s="6" t="s">
        <v>40</v>
      </c>
      <c r="H31" s="6" t="s">
        <v>35</v>
      </c>
      <c r="I31" s="6" t="s">
        <v>149</v>
      </c>
      <c r="J31" s="8" t="n">
        <v>38</v>
      </c>
      <c r="K31" s="8" t="n">
        <f aca="false">ROUND(J31*$C$2,0)-0.1</f>
        <v>54.9</v>
      </c>
      <c r="L31" s="9" t="n">
        <v>4.38</v>
      </c>
      <c r="M31" s="10" t="n">
        <v>1500000</v>
      </c>
      <c r="N31" s="11" t="s">
        <v>150</v>
      </c>
    </row>
    <row r="32" customFormat="false" ht="46.25" hidden="false" customHeight="false" outlineLevel="0" collapsed="false">
      <c r="A32" s="6" t="n">
        <v>28</v>
      </c>
      <c r="B32" s="6" t="s">
        <v>151</v>
      </c>
      <c r="C32" s="6" t="s">
        <v>152</v>
      </c>
      <c r="D32" s="7" t="n">
        <v>2018</v>
      </c>
      <c r="E32" s="6" t="s">
        <v>153</v>
      </c>
      <c r="F32" s="6" t="s">
        <v>154</v>
      </c>
      <c r="G32" s="6" t="s">
        <v>69</v>
      </c>
      <c r="H32" s="6" t="s">
        <v>22</v>
      </c>
      <c r="I32" s="6" t="s">
        <v>155</v>
      </c>
      <c r="J32" s="8" t="n">
        <v>33</v>
      </c>
      <c r="K32" s="8" t="n">
        <f aca="false">ROUND(J32*$C$2,0)-0.1</f>
        <v>47.9</v>
      </c>
      <c r="L32" s="9" t="n">
        <v>4.47</v>
      </c>
      <c r="M32" s="10" t="n">
        <v>1600000</v>
      </c>
      <c r="N32" s="11" t="s">
        <v>156</v>
      </c>
    </row>
    <row r="33" customFormat="false" ht="46.25" hidden="false" customHeight="false" outlineLevel="0" collapsed="false">
      <c r="A33" s="6" t="n">
        <v>29</v>
      </c>
      <c r="B33" s="6" t="s">
        <v>157</v>
      </c>
      <c r="C33" s="6" t="s">
        <v>158</v>
      </c>
      <c r="D33" s="7" t="n">
        <v>2010</v>
      </c>
      <c r="E33" s="6" t="s">
        <v>159</v>
      </c>
      <c r="F33" s="6" t="s">
        <v>49</v>
      </c>
      <c r="G33" s="6" t="s">
        <v>21</v>
      </c>
      <c r="H33" s="6" t="s">
        <v>35</v>
      </c>
      <c r="I33" s="6" t="s">
        <v>160</v>
      </c>
      <c r="J33" s="8" t="n">
        <v>39</v>
      </c>
      <c r="K33" s="8" t="n">
        <f aca="false">ROUND(J33*$C$2,0)-0.1</f>
        <v>56.9</v>
      </c>
      <c r="L33" s="9" t="n">
        <v>4.47</v>
      </c>
      <c r="M33" s="10" t="n">
        <v>55000</v>
      </c>
      <c r="N33" s="11" t="s">
        <v>161</v>
      </c>
    </row>
    <row r="34" customFormat="false" ht="46.25" hidden="false" customHeight="false" outlineLevel="0" collapsed="false">
      <c r="A34" s="6" t="n">
        <v>30</v>
      </c>
      <c r="B34" s="6" t="s">
        <v>162</v>
      </c>
      <c r="C34" s="6" t="s">
        <v>163</v>
      </c>
      <c r="D34" s="7" t="n">
        <v>1946</v>
      </c>
      <c r="E34" s="6" t="s">
        <v>164</v>
      </c>
      <c r="F34" s="6" t="s">
        <v>165</v>
      </c>
      <c r="G34" s="6" t="s">
        <v>69</v>
      </c>
      <c r="H34" s="6" t="s">
        <v>78</v>
      </c>
      <c r="I34" s="6" t="s">
        <v>166</v>
      </c>
      <c r="J34" s="8" t="n">
        <v>23</v>
      </c>
      <c r="K34" s="8" t="n">
        <f aca="false">ROUND(J34*$C$2,0)-0.1</f>
        <v>32.9</v>
      </c>
      <c r="L34" s="9" t="n">
        <v>4.37</v>
      </c>
      <c r="M34" s="10" t="n">
        <v>700000</v>
      </c>
      <c r="N34" s="11" t="s">
        <v>167</v>
      </c>
    </row>
    <row r="35" customFormat="false" ht="46.25" hidden="false" customHeight="false" outlineLevel="0" collapsed="false">
      <c r="A35" s="6" t="n">
        <v>31</v>
      </c>
      <c r="B35" s="6" t="s">
        <v>168</v>
      </c>
      <c r="C35" s="6" t="s">
        <v>169</v>
      </c>
      <c r="D35" s="7" t="n">
        <v>2011</v>
      </c>
      <c r="E35" s="6" t="s">
        <v>159</v>
      </c>
      <c r="F35" s="6" t="s">
        <v>148</v>
      </c>
      <c r="G35" s="6" t="s">
        <v>21</v>
      </c>
      <c r="H35" s="6" t="s">
        <v>35</v>
      </c>
      <c r="I35" s="6" t="s">
        <v>170</v>
      </c>
      <c r="J35" s="8" t="n">
        <v>37</v>
      </c>
      <c r="K35" s="8" t="n">
        <f aca="false">ROUND(J35*$C$2,0)-0.1</f>
        <v>53.9</v>
      </c>
      <c r="L35" s="9" t="n">
        <v>4.19</v>
      </c>
      <c r="M35" s="10" t="n">
        <v>500000</v>
      </c>
      <c r="N35" s="11" t="s">
        <v>171</v>
      </c>
    </row>
    <row r="36" customFormat="false" ht="46.25" hidden="false" customHeight="false" outlineLevel="0" collapsed="false">
      <c r="A36" s="6" t="n">
        <v>32</v>
      </c>
      <c r="B36" s="6" t="s">
        <v>172</v>
      </c>
      <c r="C36" s="6" t="s">
        <v>173</v>
      </c>
      <c r="D36" s="7" t="n">
        <v>2012</v>
      </c>
      <c r="E36" s="6" t="s">
        <v>159</v>
      </c>
      <c r="F36" s="6" t="s">
        <v>165</v>
      </c>
      <c r="G36" s="6" t="s">
        <v>40</v>
      </c>
      <c r="H36" s="6" t="s">
        <v>22</v>
      </c>
      <c r="I36" s="6" t="s">
        <v>174</v>
      </c>
      <c r="J36" s="8" t="n">
        <v>31</v>
      </c>
      <c r="K36" s="8" t="n">
        <f aca="false">ROUND(J36*$C$2,0)-0.1</f>
        <v>44.9</v>
      </c>
      <c r="L36" s="9" t="n">
        <v>4.13</v>
      </c>
      <c r="M36" s="10" t="n">
        <v>320000</v>
      </c>
      <c r="N36" s="11" t="s">
        <v>175</v>
      </c>
    </row>
    <row r="37" customFormat="false" ht="57.45" hidden="false" customHeight="false" outlineLevel="0" collapsed="false">
      <c r="A37" s="6" t="n">
        <v>33</v>
      </c>
      <c r="B37" s="6" t="s">
        <v>176</v>
      </c>
      <c r="C37" s="6" t="s">
        <v>177</v>
      </c>
      <c r="D37" s="7" t="n">
        <v>2018</v>
      </c>
      <c r="E37" s="6" t="s">
        <v>178</v>
      </c>
      <c r="F37" s="6" t="s">
        <v>68</v>
      </c>
      <c r="G37" s="6" t="s">
        <v>69</v>
      </c>
      <c r="H37" s="6" t="s">
        <v>22</v>
      </c>
      <c r="I37" s="6" t="s">
        <v>179</v>
      </c>
      <c r="J37" s="8" t="n">
        <v>32</v>
      </c>
      <c r="K37" s="8" t="n">
        <f aca="false">ROUND(J37*$C$2,0)-0.1</f>
        <v>45.9</v>
      </c>
      <c r="L37" s="9" t="n">
        <v>4.32</v>
      </c>
      <c r="M37" s="10" t="n">
        <v>340000</v>
      </c>
      <c r="N37" s="11" t="s">
        <v>180</v>
      </c>
    </row>
    <row r="38" customFormat="false" ht="46.25" hidden="false" customHeight="false" outlineLevel="0" collapsed="false">
      <c r="A38" s="6" t="n">
        <v>34</v>
      </c>
      <c r="B38" s="6" t="s">
        <v>181</v>
      </c>
      <c r="C38" s="6" t="s">
        <v>182</v>
      </c>
      <c r="D38" s="7" t="n">
        <v>2014</v>
      </c>
      <c r="E38" s="6" t="s">
        <v>178</v>
      </c>
      <c r="F38" s="6" t="s">
        <v>148</v>
      </c>
      <c r="G38" s="6" t="s">
        <v>69</v>
      </c>
      <c r="H38" s="6" t="s">
        <v>78</v>
      </c>
      <c r="I38" s="6" t="s">
        <v>183</v>
      </c>
      <c r="J38" s="8" t="n">
        <v>29</v>
      </c>
      <c r="K38" s="8" t="n">
        <f aca="false">ROUND(J38*$C$2,0)-0.1</f>
        <v>41.9</v>
      </c>
      <c r="L38" s="9" t="n">
        <v>4.18</v>
      </c>
      <c r="M38" s="10" t="n">
        <v>260000</v>
      </c>
      <c r="N38" s="11" t="s">
        <v>184</v>
      </c>
    </row>
    <row r="39" customFormat="false" ht="46.25" hidden="false" customHeight="false" outlineLevel="0" collapsed="false">
      <c r="A39" s="6" t="n">
        <v>35</v>
      </c>
      <c r="B39" s="6" t="s">
        <v>185</v>
      </c>
      <c r="C39" s="6" t="s">
        <v>186</v>
      </c>
      <c r="D39" s="7" t="s">
        <v>187</v>
      </c>
      <c r="E39" s="6" t="s">
        <v>164</v>
      </c>
      <c r="F39" s="6" t="s">
        <v>188</v>
      </c>
      <c r="G39" s="6" t="s">
        <v>21</v>
      </c>
      <c r="H39" s="6" t="s">
        <v>22</v>
      </c>
      <c r="I39" s="6" t="s">
        <v>189</v>
      </c>
      <c r="J39" s="8" t="n">
        <v>21</v>
      </c>
      <c r="K39" s="8" t="n">
        <f aca="false">ROUND(J39*$C$2,0)-0.1</f>
        <v>29.9</v>
      </c>
      <c r="L39" s="9" t="n">
        <v>4.19</v>
      </c>
      <c r="M39" s="10" t="n">
        <v>350000</v>
      </c>
      <c r="N39" s="11" t="s">
        <v>190</v>
      </c>
    </row>
    <row r="40" customFormat="false" ht="46.25" hidden="false" customHeight="false" outlineLevel="0" collapsed="false">
      <c r="A40" s="6" t="n">
        <v>36</v>
      </c>
      <c r="B40" s="6" t="s">
        <v>191</v>
      </c>
      <c r="C40" s="6" t="s">
        <v>192</v>
      </c>
      <c r="D40" s="7" t="n">
        <v>1942</v>
      </c>
      <c r="E40" s="6" t="s">
        <v>164</v>
      </c>
      <c r="F40" s="6" t="s">
        <v>49</v>
      </c>
      <c r="G40" s="6" t="s">
        <v>21</v>
      </c>
      <c r="H40" s="6" t="s">
        <v>35</v>
      </c>
      <c r="I40" s="6" t="s">
        <v>193</v>
      </c>
      <c r="J40" s="8" t="n">
        <v>24</v>
      </c>
      <c r="K40" s="8" t="n">
        <f aca="false">ROUND(J40*$C$2,0)-0.1</f>
        <v>34.9</v>
      </c>
      <c r="L40" s="9" t="n">
        <v>4.05</v>
      </c>
      <c r="M40" s="10" t="n">
        <v>90000</v>
      </c>
      <c r="N40" s="11" t="s">
        <v>194</v>
      </c>
    </row>
    <row r="41" customFormat="false" ht="46.25" hidden="false" customHeight="false" outlineLevel="0" collapsed="false">
      <c r="A41" s="6" t="n">
        <v>37</v>
      </c>
      <c r="B41" s="6" t="s">
        <v>195</v>
      </c>
      <c r="C41" s="6" t="s">
        <v>196</v>
      </c>
      <c r="D41" s="7" t="n">
        <v>2017</v>
      </c>
      <c r="E41" s="6" t="s">
        <v>197</v>
      </c>
      <c r="F41" s="6" t="s">
        <v>198</v>
      </c>
      <c r="G41" s="6" t="s">
        <v>21</v>
      </c>
      <c r="H41" s="6" t="s">
        <v>78</v>
      </c>
      <c r="I41" s="6" t="s">
        <v>199</v>
      </c>
      <c r="J41" s="8" t="n">
        <v>35</v>
      </c>
      <c r="K41" s="8" t="n">
        <f aca="false">ROUND(J41*$C$2,0)-0.1</f>
        <v>50.9</v>
      </c>
      <c r="L41" s="9" t="n">
        <v>4.46</v>
      </c>
      <c r="M41" s="10" t="n">
        <v>40000</v>
      </c>
      <c r="N41" s="11" t="s">
        <v>200</v>
      </c>
    </row>
    <row r="42" customFormat="false" ht="46.25" hidden="false" customHeight="false" outlineLevel="0" collapsed="false">
      <c r="A42" s="6" t="n">
        <v>38</v>
      </c>
      <c r="B42" s="6" t="s">
        <v>201</v>
      </c>
      <c r="C42" s="6" t="s">
        <v>202</v>
      </c>
      <c r="D42" s="7" t="n">
        <v>2014</v>
      </c>
      <c r="E42" s="6" t="s">
        <v>197</v>
      </c>
      <c r="F42" s="6" t="s">
        <v>29</v>
      </c>
      <c r="G42" s="6" t="s">
        <v>69</v>
      </c>
      <c r="H42" s="6" t="s">
        <v>78</v>
      </c>
      <c r="I42" s="6" t="s">
        <v>203</v>
      </c>
      <c r="J42" s="8" t="n">
        <v>26</v>
      </c>
      <c r="K42" s="8" t="n">
        <f aca="false">ROUND(J42*$C$2,0)-0.1</f>
        <v>37.9</v>
      </c>
      <c r="L42" s="9" t="n">
        <v>3.95</v>
      </c>
      <c r="M42" s="10" t="n">
        <v>800000</v>
      </c>
      <c r="N42" s="11" t="s">
        <v>204</v>
      </c>
    </row>
    <row r="43" customFormat="false" ht="46.25" hidden="false" customHeight="false" outlineLevel="0" collapsed="false">
      <c r="A43" s="6" t="n">
        <v>39</v>
      </c>
      <c r="B43" s="6" t="s">
        <v>205</v>
      </c>
      <c r="C43" s="6" t="s">
        <v>206</v>
      </c>
      <c r="D43" s="7" t="n">
        <v>1963</v>
      </c>
      <c r="E43" s="6" t="s">
        <v>207</v>
      </c>
      <c r="F43" s="6" t="s">
        <v>118</v>
      </c>
      <c r="G43" s="6" t="s">
        <v>69</v>
      </c>
      <c r="H43" s="6" t="s">
        <v>78</v>
      </c>
      <c r="I43" s="6" t="s">
        <v>208</v>
      </c>
      <c r="J43" s="8" t="n">
        <v>20</v>
      </c>
      <c r="K43" s="8" t="n">
        <f aca="false">ROUND(J43*$C$2,0)-0.1</f>
        <v>28.9</v>
      </c>
      <c r="L43" s="9" t="n">
        <v>4.23</v>
      </c>
      <c r="M43" s="10" t="n">
        <v>620000</v>
      </c>
      <c r="N43" s="11" t="s">
        <v>209</v>
      </c>
    </row>
    <row r="44" customFormat="false" ht="46.25" hidden="false" customHeight="false" outlineLevel="0" collapsed="false">
      <c r="A44" s="6" t="n">
        <v>40</v>
      </c>
      <c r="B44" s="6" t="s">
        <v>210</v>
      </c>
      <c r="C44" s="6" t="s">
        <v>211</v>
      </c>
      <c r="D44" s="7" t="n">
        <v>1952</v>
      </c>
      <c r="E44" s="6" t="s">
        <v>207</v>
      </c>
      <c r="F44" s="6" t="s">
        <v>212</v>
      </c>
      <c r="G44" s="6" t="s">
        <v>69</v>
      </c>
      <c r="H44" s="6" t="s">
        <v>78</v>
      </c>
      <c r="I44" s="6" t="s">
        <v>213</v>
      </c>
      <c r="J44" s="8" t="n">
        <v>19</v>
      </c>
      <c r="K44" s="8" t="n">
        <f aca="false">ROUND(J44*$C$2,0)-0.1</f>
        <v>27.9</v>
      </c>
      <c r="L44" s="9" t="n">
        <v>4.24</v>
      </c>
      <c r="M44" s="10" t="n">
        <v>1000000</v>
      </c>
      <c r="N44" s="11" t="s">
        <v>214</v>
      </c>
    </row>
    <row r="45" customFormat="false" ht="46.25" hidden="false" customHeight="false" outlineLevel="0" collapsed="false">
      <c r="A45" s="6" t="n">
        <v>41</v>
      </c>
      <c r="B45" s="6" t="s">
        <v>215</v>
      </c>
      <c r="C45" s="6" t="s">
        <v>216</v>
      </c>
      <c r="D45" s="7" t="n">
        <v>1988</v>
      </c>
      <c r="E45" s="6" t="s">
        <v>207</v>
      </c>
      <c r="F45" s="6" t="s">
        <v>142</v>
      </c>
      <c r="G45" s="6" t="s">
        <v>69</v>
      </c>
      <c r="H45" s="6" t="s">
        <v>78</v>
      </c>
      <c r="I45" s="6" t="s">
        <v>217</v>
      </c>
      <c r="J45" s="8" t="n">
        <v>21</v>
      </c>
      <c r="K45" s="8" t="n">
        <f aca="false">ROUND(J45*$C$2,0)-0.1</f>
        <v>29.9</v>
      </c>
      <c r="L45" s="9" t="n">
        <v>4.29</v>
      </c>
      <c r="M45" s="10" t="n">
        <v>1100000</v>
      </c>
      <c r="N45" s="11" t="s">
        <v>218</v>
      </c>
    </row>
    <row r="46" customFormat="false" ht="46.25" hidden="false" customHeight="false" outlineLevel="0" collapsed="false">
      <c r="A46" s="6" t="n">
        <v>42</v>
      </c>
      <c r="B46" s="6" t="s">
        <v>219</v>
      </c>
      <c r="C46" s="6" t="s">
        <v>220</v>
      </c>
      <c r="D46" s="7" t="n">
        <v>1943</v>
      </c>
      <c r="E46" s="6" t="s">
        <v>207</v>
      </c>
      <c r="F46" s="6" t="s">
        <v>212</v>
      </c>
      <c r="G46" s="6" t="s">
        <v>69</v>
      </c>
      <c r="H46" s="6" t="s">
        <v>78</v>
      </c>
      <c r="I46" s="6" t="s">
        <v>221</v>
      </c>
      <c r="J46" s="8" t="n">
        <v>22</v>
      </c>
      <c r="K46" s="8" t="n">
        <f aca="false">ROUND(J46*$C$2,0)-0.1</f>
        <v>31.9</v>
      </c>
      <c r="L46" s="9" t="n">
        <v>4.32</v>
      </c>
      <c r="M46" s="10" t="n">
        <v>2100000</v>
      </c>
      <c r="N46" s="11" t="s">
        <v>222</v>
      </c>
    </row>
    <row r="47" customFormat="false" ht="46.25" hidden="false" customHeight="false" outlineLevel="0" collapsed="false">
      <c r="A47" s="6" t="n">
        <v>43</v>
      </c>
      <c r="B47" s="6" t="s">
        <v>223</v>
      </c>
      <c r="C47" s="6" t="s">
        <v>224</v>
      </c>
      <c r="D47" s="7" t="n">
        <v>1847</v>
      </c>
      <c r="E47" s="6" t="s">
        <v>136</v>
      </c>
      <c r="F47" s="6" t="s">
        <v>29</v>
      </c>
      <c r="G47" s="6" t="s">
        <v>40</v>
      </c>
      <c r="H47" s="6" t="s">
        <v>22</v>
      </c>
      <c r="I47" s="6" t="s">
        <v>225</v>
      </c>
      <c r="J47" s="8" t="n">
        <v>24</v>
      </c>
      <c r="K47" s="8" t="n">
        <f aca="false">ROUND(J47*$C$2,0)-0.1</f>
        <v>34.9</v>
      </c>
      <c r="L47" s="9" t="n">
        <v>4.15</v>
      </c>
      <c r="M47" s="10" t="n">
        <v>2100000</v>
      </c>
      <c r="N47" s="11" t="s">
        <v>226</v>
      </c>
    </row>
    <row r="48" customFormat="false" ht="46.25" hidden="false" customHeight="false" outlineLevel="0" collapsed="false">
      <c r="A48" s="6" t="n">
        <v>44</v>
      </c>
      <c r="B48" s="6" t="s">
        <v>227</v>
      </c>
      <c r="C48" s="6" t="s">
        <v>228</v>
      </c>
      <c r="D48" s="7" t="n">
        <v>1847</v>
      </c>
      <c r="E48" s="6" t="s">
        <v>136</v>
      </c>
      <c r="F48" s="6" t="s">
        <v>34</v>
      </c>
      <c r="G48" s="6" t="s">
        <v>40</v>
      </c>
      <c r="H48" s="6" t="s">
        <v>22</v>
      </c>
      <c r="I48" s="6" t="s">
        <v>229</v>
      </c>
      <c r="J48" s="8" t="n">
        <v>23</v>
      </c>
      <c r="K48" s="8" t="n">
        <f aca="false">ROUND(J48*$C$2,0)-0.1</f>
        <v>32.9</v>
      </c>
      <c r="L48" s="9" t="n">
        <v>3.88</v>
      </c>
      <c r="M48" s="10" t="n">
        <v>1600000</v>
      </c>
      <c r="N48" s="11" t="s">
        <v>230</v>
      </c>
    </row>
    <row r="49" customFormat="false" ht="46.25" hidden="false" customHeight="false" outlineLevel="0" collapsed="false">
      <c r="A49" s="6" t="n">
        <v>45</v>
      </c>
      <c r="B49" s="6" t="s">
        <v>231</v>
      </c>
      <c r="C49" s="6" t="s">
        <v>232</v>
      </c>
      <c r="D49" s="7" t="n">
        <v>1861</v>
      </c>
      <c r="E49" s="6" t="s">
        <v>19</v>
      </c>
      <c r="F49" s="6" t="s">
        <v>233</v>
      </c>
      <c r="G49" s="6" t="s">
        <v>40</v>
      </c>
      <c r="H49" s="6" t="s">
        <v>22</v>
      </c>
      <c r="I49" s="6" t="s">
        <v>234</v>
      </c>
      <c r="J49" s="8" t="n">
        <v>24</v>
      </c>
      <c r="K49" s="8" t="n">
        <f aca="false">ROUND(J49*$C$2,0)-0.1</f>
        <v>34.9</v>
      </c>
      <c r="L49" s="9" t="n">
        <v>3.79</v>
      </c>
      <c r="M49" s="10" t="n">
        <v>800000</v>
      </c>
      <c r="N49" s="11" t="s">
        <v>235</v>
      </c>
    </row>
    <row r="50" customFormat="false" ht="46.25" hidden="false" customHeight="false" outlineLevel="0" collapsed="false">
      <c r="A50" s="6" t="n">
        <v>46</v>
      </c>
      <c r="B50" s="6" t="s">
        <v>236</v>
      </c>
      <c r="C50" s="6" t="s">
        <v>232</v>
      </c>
      <c r="D50" s="7" t="n">
        <v>1859</v>
      </c>
      <c r="E50" s="6" t="s">
        <v>147</v>
      </c>
      <c r="F50" s="6" t="s">
        <v>237</v>
      </c>
      <c r="G50" s="6" t="s">
        <v>40</v>
      </c>
      <c r="H50" s="6" t="s">
        <v>22</v>
      </c>
      <c r="I50" s="6" t="s">
        <v>238</v>
      </c>
      <c r="J50" s="8" t="n">
        <v>24</v>
      </c>
      <c r="K50" s="8" t="n">
        <f aca="false">ROUND(J50*$C$2,0)-0.1</f>
        <v>34.9</v>
      </c>
      <c r="L50" s="9" t="n">
        <v>3.86</v>
      </c>
      <c r="M50" s="10" t="n">
        <v>950000</v>
      </c>
      <c r="N50" s="11" t="s">
        <v>239</v>
      </c>
    </row>
    <row r="51" customFormat="false" ht="46.25" hidden="false" customHeight="false" outlineLevel="0" collapsed="false">
      <c r="A51" s="6" t="n">
        <v>47</v>
      </c>
      <c r="B51" s="6" t="s">
        <v>240</v>
      </c>
      <c r="C51" s="6" t="s">
        <v>241</v>
      </c>
      <c r="D51" s="7" t="n">
        <v>1851</v>
      </c>
      <c r="E51" s="6" t="s">
        <v>19</v>
      </c>
      <c r="F51" s="6" t="s">
        <v>242</v>
      </c>
      <c r="G51" s="6" t="s">
        <v>21</v>
      </c>
      <c r="H51" s="6" t="s">
        <v>35</v>
      </c>
      <c r="I51" s="6" t="s">
        <v>243</v>
      </c>
      <c r="J51" s="8" t="n">
        <v>28</v>
      </c>
      <c r="K51" s="8" t="n">
        <f aca="false">ROUND(J51*$C$2,0)-0.1</f>
        <v>40.9</v>
      </c>
      <c r="L51" s="9" t="n">
        <v>3.53</v>
      </c>
      <c r="M51" s="10" t="n">
        <v>600000</v>
      </c>
      <c r="N51" s="11" t="s">
        <v>244</v>
      </c>
    </row>
    <row r="52" customFormat="false" ht="46.25" hidden="false" customHeight="false" outlineLevel="0" collapsed="false">
      <c r="A52" s="6" t="n">
        <v>48</v>
      </c>
      <c r="B52" s="6" t="s">
        <v>245</v>
      </c>
      <c r="C52" s="6" t="s">
        <v>246</v>
      </c>
      <c r="D52" s="7" t="n">
        <v>1818</v>
      </c>
      <c r="E52" s="6" t="s">
        <v>127</v>
      </c>
      <c r="F52" s="6" t="s">
        <v>34</v>
      </c>
      <c r="G52" s="6" t="s">
        <v>40</v>
      </c>
      <c r="H52" s="6" t="s">
        <v>22</v>
      </c>
      <c r="I52" s="6" t="s">
        <v>247</v>
      </c>
      <c r="J52" s="8" t="n">
        <v>22</v>
      </c>
      <c r="K52" s="8" t="n">
        <f aca="false">ROUND(J52*$C$2,0)-0.1</f>
        <v>31.9</v>
      </c>
      <c r="L52" s="9" t="n">
        <v>3.85</v>
      </c>
      <c r="M52" s="10" t="n">
        <v>1700000</v>
      </c>
      <c r="N52" s="11" t="s">
        <v>248</v>
      </c>
    </row>
    <row r="53" customFormat="false" ht="46.25" hidden="false" customHeight="false" outlineLevel="0" collapsed="false">
      <c r="A53" s="6" t="n">
        <v>49</v>
      </c>
      <c r="B53" s="6" t="s">
        <v>249</v>
      </c>
      <c r="C53" s="6" t="s">
        <v>250</v>
      </c>
      <c r="D53" s="7" t="n">
        <v>1897</v>
      </c>
      <c r="E53" s="6" t="s">
        <v>127</v>
      </c>
      <c r="F53" s="6" t="s">
        <v>108</v>
      </c>
      <c r="G53" s="6" t="s">
        <v>40</v>
      </c>
      <c r="H53" s="6" t="s">
        <v>22</v>
      </c>
      <c r="I53" s="6" t="s">
        <v>251</v>
      </c>
      <c r="J53" s="8" t="n">
        <v>23</v>
      </c>
      <c r="K53" s="8" t="n">
        <f aca="false">ROUND(J53*$C$2,0)-0.1</f>
        <v>32.9</v>
      </c>
      <c r="L53" s="9" t="n">
        <v>4.02</v>
      </c>
      <c r="M53" s="10" t="n">
        <v>1300000</v>
      </c>
      <c r="N53" s="11" t="s">
        <v>252</v>
      </c>
    </row>
    <row r="54" customFormat="false" ht="46.25" hidden="false" customHeight="false" outlineLevel="0" collapsed="false">
      <c r="A54" s="6" t="n">
        <v>50</v>
      </c>
      <c r="B54" s="6" t="s">
        <v>253</v>
      </c>
      <c r="C54" s="6" t="s">
        <v>254</v>
      </c>
      <c r="D54" s="7" t="n">
        <v>1869</v>
      </c>
      <c r="E54" s="6" t="s">
        <v>147</v>
      </c>
      <c r="F54" s="6" t="s">
        <v>49</v>
      </c>
      <c r="G54" s="6" t="s">
        <v>21</v>
      </c>
      <c r="H54" s="6" t="s">
        <v>35</v>
      </c>
      <c r="I54" s="6" t="s">
        <v>255</v>
      </c>
      <c r="J54" s="8" t="n">
        <v>38</v>
      </c>
      <c r="K54" s="8" t="n">
        <f aca="false">ROUND(J54*$C$2,0)-0.1</f>
        <v>54.9</v>
      </c>
      <c r="L54" s="9" t="n">
        <v>4.15</v>
      </c>
      <c r="M54" s="10" t="n">
        <v>350000</v>
      </c>
      <c r="N54" s="11" t="s">
        <v>256</v>
      </c>
    </row>
    <row r="55" customFormat="false" ht="46.25" hidden="false" customHeight="false" outlineLevel="0" collapsed="false">
      <c r="A55" s="6" t="n">
        <v>51</v>
      </c>
      <c r="B55" s="6" t="s">
        <v>257</v>
      </c>
      <c r="C55" s="6" t="s">
        <v>254</v>
      </c>
      <c r="D55" s="7" t="n">
        <v>1878</v>
      </c>
      <c r="E55" s="6" t="s">
        <v>19</v>
      </c>
      <c r="F55" s="6" t="s">
        <v>20</v>
      </c>
      <c r="G55" s="6" t="s">
        <v>21</v>
      </c>
      <c r="H55" s="6" t="s">
        <v>35</v>
      </c>
      <c r="I55" s="6" t="s">
        <v>258</v>
      </c>
      <c r="J55" s="8" t="n">
        <v>34</v>
      </c>
      <c r="K55" s="8" t="n">
        <f aca="false">ROUND(J55*$C$2,0)-0.1</f>
        <v>48.9</v>
      </c>
      <c r="L55" s="9" t="n">
        <v>4.1</v>
      </c>
      <c r="M55" s="10" t="n">
        <v>900000</v>
      </c>
      <c r="N55" s="11" t="s">
        <v>259</v>
      </c>
    </row>
    <row r="56" customFormat="false" ht="46.25" hidden="false" customHeight="false" outlineLevel="0" collapsed="false">
      <c r="A56" s="6" t="n">
        <v>52</v>
      </c>
      <c r="B56" s="6" t="s">
        <v>260</v>
      </c>
      <c r="C56" s="6" t="s">
        <v>261</v>
      </c>
      <c r="D56" s="7" t="n">
        <v>1867</v>
      </c>
      <c r="E56" s="6" t="s">
        <v>19</v>
      </c>
      <c r="F56" s="6" t="s">
        <v>44</v>
      </c>
      <c r="G56" s="6" t="s">
        <v>40</v>
      </c>
      <c r="H56" s="6" t="s">
        <v>35</v>
      </c>
      <c r="I56" s="6" t="s">
        <v>262</v>
      </c>
      <c r="J56" s="8" t="n">
        <v>28</v>
      </c>
      <c r="K56" s="8" t="n">
        <f aca="false">ROUND(J56*$C$2,0)-0.1</f>
        <v>40.9</v>
      </c>
      <c r="L56" s="9" t="n">
        <v>4.27</v>
      </c>
      <c r="M56" s="10" t="n">
        <v>1000000</v>
      </c>
      <c r="N56" s="11" t="s">
        <v>263</v>
      </c>
    </row>
    <row r="57" customFormat="false" ht="46.25" hidden="false" customHeight="false" outlineLevel="0" collapsed="false">
      <c r="A57" s="6" t="n">
        <v>53</v>
      </c>
      <c r="B57" s="6" t="s">
        <v>264</v>
      </c>
      <c r="C57" s="6" t="s">
        <v>261</v>
      </c>
      <c r="D57" s="7" t="n">
        <v>1880</v>
      </c>
      <c r="E57" s="6" t="s">
        <v>19</v>
      </c>
      <c r="F57" s="6" t="s">
        <v>113</v>
      </c>
      <c r="G57" s="6" t="s">
        <v>21</v>
      </c>
      <c r="H57" s="6" t="s">
        <v>35</v>
      </c>
      <c r="I57" s="6" t="s">
        <v>265</v>
      </c>
      <c r="J57" s="8" t="n">
        <v>34</v>
      </c>
      <c r="K57" s="8" t="n">
        <f aca="false">ROUND(J57*$C$2,0)-0.1</f>
        <v>48.9</v>
      </c>
      <c r="L57" s="9" t="n">
        <v>4.36</v>
      </c>
      <c r="M57" s="10" t="n">
        <v>330000</v>
      </c>
      <c r="N57" s="11" t="s">
        <v>266</v>
      </c>
    </row>
    <row r="58" customFormat="false" ht="46.25" hidden="false" customHeight="false" outlineLevel="0" collapsed="false">
      <c r="A58" s="6" t="n">
        <v>54</v>
      </c>
      <c r="B58" s="6" t="s">
        <v>267</v>
      </c>
      <c r="C58" s="6" t="s">
        <v>268</v>
      </c>
      <c r="D58" s="7" t="n">
        <v>1862</v>
      </c>
      <c r="E58" s="6" t="s">
        <v>147</v>
      </c>
      <c r="F58" s="6" t="s">
        <v>269</v>
      </c>
      <c r="G58" s="6" t="s">
        <v>21</v>
      </c>
      <c r="H58" s="6" t="s">
        <v>35</v>
      </c>
      <c r="I58" s="6" t="s">
        <v>270</v>
      </c>
      <c r="J58" s="8" t="n">
        <v>37</v>
      </c>
      <c r="K58" s="8" t="n">
        <f aca="false">ROUND(J58*$C$2,0)-0.1</f>
        <v>53.9</v>
      </c>
      <c r="L58" s="9" t="n">
        <v>4.21</v>
      </c>
      <c r="M58" s="10" t="n">
        <v>900000</v>
      </c>
      <c r="N58" s="11" t="s">
        <v>271</v>
      </c>
    </row>
    <row r="59" customFormat="false" ht="46.25" hidden="false" customHeight="false" outlineLevel="0" collapsed="false">
      <c r="A59" s="6" t="n">
        <v>55</v>
      </c>
      <c r="B59" s="6" t="s">
        <v>272</v>
      </c>
      <c r="C59" s="6" t="s">
        <v>273</v>
      </c>
      <c r="D59" s="7" t="n">
        <v>1844</v>
      </c>
      <c r="E59" s="6" t="s">
        <v>19</v>
      </c>
      <c r="F59" s="6" t="s">
        <v>93</v>
      </c>
      <c r="G59" s="6" t="s">
        <v>69</v>
      </c>
      <c r="H59" s="6" t="s">
        <v>35</v>
      </c>
      <c r="I59" s="6" t="s">
        <v>274</v>
      </c>
      <c r="J59" s="8" t="n">
        <v>32</v>
      </c>
      <c r="K59" s="8" t="n">
        <f aca="false">ROUND(J59*$C$2,0)-0.1</f>
        <v>45.9</v>
      </c>
      <c r="L59" s="9" t="n">
        <v>4.29</v>
      </c>
      <c r="M59" s="10" t="n">
        <v>1000000</v>
      </c>
      <c r="N59" s="11" t="s">
        <v>275</v>
      </c>
    </row>
    <row r="60" customFormat="false" ht="46.25" hidden="false" customHeight="false" outlineLevel="0" collapsed="false">
      <c r="A60" s="6" t="n">
        <v>56</v>
      </c>
      <c r="B60" s="6" t="s">
        <v>276</v>
      </c>
      <c r="C60" s="6" t="s">
        <v>277</v>
      </c>
      <c r="D60" s="7" t="n">
        <v>1605</v>
      </c>
      <c r="E60" s="6" t="s">
        <v>19</v>
      </c>
      <c r="F60" s="6" t="s">
        <v>278</v>
      </c>
      <c r="G60" s="6" t="s">
        <v>21</v>
      </c>
      <c r="H60" s="6" t="s">
        <v>35</v>
      </c>
      <c r="I60" s="6" t="s">
        <v>279</v>
      </c>
      <c r="J60" s="8" t="n">
        <v>30</v>
      </c>
      <c r="K60" s="8" t="n">
        <f aca="false">ROUND(J60*$C$2,0)-0.1</f>
        <v>43.9</v>
      </c>
      <c r="L60" s="9" t="n">
        <v>3.9</v>
      </c>
      <c r="M60" s="10" t="n">
        <v>270000</v>
      </c>
      <c r="N60" s="11" t="s">
        <v>280</v>
      </c>
    </row>
    <row r="61" customFormat="false" ht="46.25" hidden="false" customHeight="false" outlineLevel="0" collapsed="false">
      <c r="A61" s="6" t="n">
        <v>57</v>
      </c>
      <c r="B61" s="6" t="s">
        <v>281</v>
      </c>
      <c r="C61" s="6" t="s">
        <v>282</v>
      </c>
      <c r="D61" s="7" t="n">
        <v>1857</v>
      </c>
      <c r="E61" s="6" t="s">
        <v>19</v>
      </c>
      <c r="F61" s="6" t="s">
        <v>20</v>
      </c>
      <c r="G61" s="6" t="s">
        <v>21</v>
      </c>
      <c r="H61" s="6" t="s">
        <v>22</v>
      </c>
      <c r="I61" s="6" t="s">
        <v>283</v>
      </c>
      <c r="J61" s="8" t="n">
        <v>24</v>
      </c>
      <c r="K61" s="8" t="n">
        <f aca="false">ROUND(J61*$C$2,0)-0.1</f>
        <v>34.9</v>
      </c>
      <c r="L61" s="9" t="n">
        <v>3.7</v>
      </c>
      <c r="M61" s="10" t="n">
        <v>330000</v>
      </c>
      <c r="N61" s="11" t="s">
        <v>284</v>
      </c>
    </row>
    <row r="62" customFormat="false" ht="46.25" hidden="false" customHeight="false" outlineLevel="0" collapsed="false">
      <c r="A62" s="6" t="n">
        <v>58</v>
      </c>
      <c r="B62" s="6" t="s">
        <v>285</v>
      </c>
      <c r="C62" s="6" t="s">
        <v>286</v>
      </c>
      <c r="D62" s="7" t="n">
        <v>1925</v>
      </c>
      <c r="E62" s="6" t="s">
        <v>19</v>
      </c>
      <c r="F62" s="6" t="s">
        <v>20</v>
      </c>
      <c r="G62" s="6" t="s">
        <v>69</v>
      </c>
      <c r="H62" s="6" t="s">
        <v>78</v>
      </c>
      <c r="I62" s="6" t="s">
        <v>287</v>
      </c>
      <c r="J62" s="8" t="n">
        <v>22</v>
      </c>
      <c r="K62" s="8" t="n">
        <f aca="false">ROUND(J62*$C$2,0)-0.1</f>
        <v>31.9</v>
      </c>
      <c r="L62" s="9" t="n">
        <v>3.93</v>
      </c>
      <c r="M62" s="10" t="n">
        <v>5500000</v>
      </c>
      <c r="N62" s="11" t="s">
        <v>288</v>
      </c>
    </row>
    <row r="63" customFormat="false" ht="46.25" hidden="false" customHeight="false" outlineLevel="0" collapsed="false">
      <c r="A63" s="6" t="n">
        <v>59</v>
      </c>
      <c r="B63" s="6" t="s">
        <v>289</v>
      </c>
      <c r="C63" s="6" t="s">
        <v>290</v>
      </c>
      <c r="D63" s="7" t="n">
        <v>1949</v>
      </c>
      <c r="E63" s="6" t="s">
        <v>92</v>
      </c>
      <c r="F63" s="6" t="s">
        <v>34</v>
      </c>
      <c r="G63" s="6" t="s">
        <v>40</v>
      </c>
      <c r="H63" s="6" t="s">
        <v>22</v>
      </c>
      <c r="I63" s="6" t="s">
        <v>291</v>
      </c>
      <c r="J63" s="8" t="n">
        <v>24</v>
      </c>
      <c r="K63" s="8" t="n">
        <f aca="false">ROUND(J63*$C$2,0)-0.1</f>
        <v>34.9</v>
      </c>
      <c r="L63" s="9" t="n">
        <v>4.2</v>
      </c>
      <c r="M63" s="10" t="n">
        <v>5000000</v>
      </c>
      <c r="N63" s="11" t="s">
        <v>292</v>
      </c>
    </row>
    <row r="64" customFormat="false" ht="35.05" hidden="false" customHeight="false" outlineLevel="0" collapsed="false">
      <c r="A64" s="6" t="n">
        <v>60</v>
      </c>
      <c r="B64" s="6" t="s">
        <v>293</v>
      </c>
      <c r="C64" s="6" t="s">
        <v>290</v>
      </c>
      <c r="D64" s="7" t="n">
        <v>1945</v>
      </c>
      <c r="E64" s="6" t="s">
        <v>19</v>
      </c>
      <c r="F64" s="6" t="s">
        <v>294</v>
      </c>
      <c r="G64" s="6" t="s">
        <v>69</v>
      </c>
      <c r="H64" s="6" t="s">
        <v>78</v>
      </c>
      <c r="I64" s="6" t="s">
        <v>295</v>
      </c>
      <c r="J64" s="8" t="n">
        <v>19</v>
      </c>
      <c r="K64" s="8" t="n">
        <f aca="false">ROUND(J64*$C$2,0)-0.1</f>
        <v>27.9</v>
      </c>
      <c r="L64" s="9" t="n">
        <v>3.99</v>
      </c>
      <c r="M64" s="10" t="n">
        <v>4000000</v>
      </c>
      <c r="N64" s="11" t="s">
        <v>296</v>
      </c>
    </row>
    <row r="65" customFormat="false" ht="46.25" hidden="false" customHeight="false" outlineLevel="0" collapsed="false">
      <c r="A65" s="6" t="n">
        <v>61</v>
      </c>
      <c r="B65" s="6" t="s">
        <v>297</v>
      </c>
      <c r="C65" s="6" t="s">
        <v>298</v>
      </c>
      <c r="D65" s="7" t="n">
        <v>1932</v>
      </c>
      <c r="E65" s="6" t="s">
        <v>92</v>
      </c>
      <c r="F65" s="6" t="s">
        <v>44</v>
      </c>
      <c r="G65" s="6" t="s">
        <v>40</v>
      </c>
      <c r="H65" s="6" t="s">
        <v>22</v>
      </c>
      <c r="I65" s="6" t="s">
        <v>299</v>
      </c>
      <c r="J65" s="8" t="n">
        <v>24</v>
      </c>
      <c r="K65" s="8" t="n">
        <f aca="false">ROUND(J65*$C$2,0)-0.1</f>
        <v>34.9</v>
      </c>
      <c r="L65" s="9" t="n">
        <v>3.99</v>
      </c>
      <c r="M65" s="10" t="n">
        <v>1900000</v>
      </c>
      <c r="N65" s="11" t="s">
        <v>300</v>
      </c>
    </row>
    <row r="66" customFormat="false" ht="46.25" hidden="false" customHeight="false" outlineLevel="0" collapsed="false">
      <c r="A66" s="6" t="n">
        <v>62</v>
      </c>
      <c r="B66" s="6" t="s">
        <v>301</v>
      </c>
      <c r="C66" s="6" t="s">
        <v>302</v>
      </c>
      <c r="D66" s="7" t="n">
        <v>1960</v>
      </c>
      <c r="E66" s="6" t="s">
        <v>19</v>
      </c>
      <c r="F66" s="6" t="s">
        <v>269</v>
      </c>
      <c r="G66" s="6" t="s">
        <v>40</v>
      </c>
      <c r="H66" s="6" t="s">
        <v>22</v>
      </c>
      <c r="I66" s="6" t="s">
        <v>303</v>
      </c>
      <c r="J66" s="8" t="n">
        <v>25</v>
      </c>
      <c r="K66" s="8" t="n">
        <f aca="false">ROUND(J66*$C$2,0)-0.1</f>
        <v>35.9</v>
      </c>
      <c r="L66" s="9" t="n">
        <v>4.26</v>
      </c>
      <c r="M66" s="10" t="n">
        <v>6300000</v>
      </c>
      <c r="N66" s="11" t="s">
        <v>304</v>
      </c>
    </row>
    <row r="67" customFormat="false" ht="46.25" hidden="false" customHeight="false" outlineLevel="0" collapsed="false">
      <c r="A67" s="6" t="n">
        <v>63</v>
      </c>
      <c r="B67" s="6" t="s">
        <v>305</v>
      </c>
      <c r="C67" s="6" t="s">
        <v>306</v>
      </c>
      <c r="D67" s="7" t="n">
        <v>1951</v>
      </c>
      <c r="E67" s="6" t="s">
        <v>19</v>
      </c>
      <c r="F67" s="6" t="s">
        <v>307</v>
      </c>
      <c r="G67" s="6" t="s">
        <v>69</v>
      </c>
      <c r="H67" s="6" t="s">
        <v>78</v>
      </c>
      <c r="I67" s="6" t="s">
        <v>308</v>
      </c>
      <c r="J67" s="8" t="n">
        <v>22</v>
      </c>
      <c r="K67" s="8" t="n">
        <f aca="false">ROUND(J67*$C$2,0)-0.1</f>
        <v>31.9</v>
      </c>
      <c r="L67" s="9" t="n">
        <v>3.8</v>
      </c>
      <c r="M67" s="10" t="n">
        <v>3600000</v>
      </c>
      <c r="N67" s="11" t="s">
        <v>309</v>
      </c>
    </row>
    <row r="68" customFormat="false" ht="46.25" hidden="false" customHeight="false" outlineLevel="0" collapsed="false">
      <c r="A68" s="6" t="n">
        <v>64</v>
      </c>
      <c r="B68" s="6" t="s">
        <v>310</v>
      </c>
      <c r="C68" s="6" t="s">
        <v>311</v>
      </c>
      <c r="D68" s="7" t="n">
        <v>1937</v>
      </c>
      <c r="E68" s="6" t="s">
        <v>19</v>
      </c>
      <c r="F68" s="6" t="s">
        <v>312</v>
      </c>
      <c r="G68" s="6" t="s">
        <v>69</v>
      </c>
      <c r="H68" s="6" t="s">
        <v>78</v>
      </c>
      <c r="I68" s="6" t="s">
        <v>313</v>
      </c>
      <c r="J68" s="8" t="n">
        <v>19</v>
      </c>
      <c r="K68" s="8" t="n">
        <f aca="false">ROUND(J68*$C$2,0)-0.1</f>
        <v>27.9</v>
      </c>
      <c r="L68" s="9" t="n">
        <v>3.89</v>
      </c>
      <c r="M68" s="10" t="n">
        <v>2900000</v>
      </c>
      <c r="N68" s="11" t="s">
        <v>314</v>
      </c>
    </row>
    <row r="69" customFormat="false" ht="46.25" hidden="false" customHeight="false" outlineLevel="0" collapsed="false">
      <c r="A69" s="6" t="n">
        <v>65</v>
      </c>
      <c r="B69" s="6" t="s">
        <v>315</v>
      </c>
      <c r="C69" s="6" t="s">
        <v>311</v>
      </c>
      <c r="D69" s="7" t="n">
        <v>1939</v>
      </c>
      <c r="E69" s="6" t="s">
        <v>19</v>
      </c>
      <c r="F69" s="6" t="s">
        <v>29</v>
      </c>
      <c r="G69" s="6" t="s">
        <v>21</v>
      </c>
      <c r="H69" s="6" t="s">
        <v>35</v>
      </c>
      <c r="I69" s="6" t="s">
        <v>316</v>
      </c>
      <c r="J69" s="8" t="n">
        <v>30</v>
      </c>
      <c r="K69" s="8" t="n">
        <f aca="false">ROUND(J69*$C$2,0)-0.1</f>
        <v>43.9</v>
      </c>
      <c r="L69" s="9" t="n">
        <v>3.99</v>
      </c>
      <c r="M69" s="10" t="n">
        <v>950000</v>
      </c>
      <c r="N69" s="11" t="s">
        <v>317</v>
      </c>
    </row>
    <row r="70" customFormat="false" ht="46.25" hidden="false" customHeight="false" outlineLevel="0" collapsed="false">
      <c r="A70" s="6" t="n">
        <v>66</v>
      </c>
      <c r="B70" s="6" t="s">
        <v>318</v>
      </c>
      <c r="C70" s="6" t="s">
        <v>319</v>
      </c>
      <c r="D70" s="7" t="n">
        <v>1922</v>
      </c>
      <c r="E70" s="6" t="s">
        <v>19</v>
      </c>
      <c r="F70" s="6" t="s">
        <v>278</v>
      </c>
      <c r="G70" s="6" t="s">
        <v>21</v>
      </c>
      <c r="H70" s="6" t="s">
        <v>35</v>
      </c>
      <c r="I70" s="6" t="s">
        <v>320</v>
      </c>
      <c r="J70" s="8" t="n">
        <v>33</v>
      </c>
      <c r="K70" s="8" t="n">
        <f aca="false">ROUND(J70*$C$2,0)-0.1</f>
        <v>47.9</v>
      </c>
      <c r="L70" s="9" t="n">
        <v>3.75</v>
      </c>
      <c r="M70" s="10" t="n">
        <v>120000</v>
      </c>
      <c r="N70" s="11" t="s">
        <v>321</v>
      </c>
    </row>
    <row r="71" customFormat="false" ht="46.25" hidden="false" customHeight="false" outlineLevel="0" collapsed="false">
      <c r="A71" s="6" t="n">
        <v>67</v>
      </c>
      <c r="B71" s="6" t="s">
        <v>322</v>
      </c>
      <c r="C71" s="6" t="s">
        <v>323</v>
      </c>
      <c r="D71" s="7" t="n">
        <v>1925</v>
      </c>
      <c r="E71" s="6" t="s">
        <v>19</v>
      </c>
      <c r="F71" s="6" t="s">
        <v>49</v>
      </c>
      <c r="G71" s="6" t="s">
        <v>21</v>
      </c>
      <c r="H71" s="6" t="s">
        <v>78</v>
      </c>
      <c r="I71" s="6" t="s">
        <v>324</v>
      </c>
      <c r="J71" s="8" t="n">
        <v>22</v>
      </c>
      <c r="K71" s="8" t="n">
        <f aca="false">ROUND(J71*$C$2,0)-0.1</f>
        <v>31.9</v>
      </c>
      <c r="L71" s="9" t="n">
        <v>3.79</v>
      </c>
      <c r="M71" s="10" t="n">
        <v>330000</v>
      </c>
      <c r="N71" s="11" t="s">
        <v>325</v>
      </c>
    </row>
    <row r="72" customFormat="false" ht="46.25" hidden="false" customHeight="false" outlineLevel="0" collapsed="false">
      <c r="A72" s="6" t="n">
        <v>68</v>
      </c>
      <c r="B72" s="6" t="s">
        <v>326</v>
      </c>
      <c r="C72" s="6" t="s">
        <v>327</v>
      </c>
      <c r="D72" s="7" t="n">
        <v>1902</v>
      </c>
      <c r="E72" s="6" t="s">
        <v>19</v>
      </c>
      <c r="F72" s="6" t="s">
        <v>44</v>
      </c>
      <c r="G72" s="6" t="s">
        <v>40</v>
      </c>
      <c r="H72" s="6" t="s">
        <v>78</v>
      </c>
      <c r="I72" s="6" t="s">
        <v>328</v>
      </c>
      <c r="J72" s="8" t="n">
        <v>19</v>
      </c>
      <c r="K72" s="8" t="n">
        <f aca="false">ROUND(J72*$C$2,0)-0.1</f>
        <v>27.9</v>
      </c>
      <c r="L72" s="9" t="n">
        <v>3.43</v>
      </c>
      <c r="M72" s="10" t="n">
        <v>480000</v>
      </c>
      <c r="N72" s="11" t="s">
        <v>329</v>
      </c>
    </row>
    <row r="73" customFormat="false" ht="46.25" hidden="false" customHeight="false" outlineLevel="0" collapsed="false">
      <c r="A73" s="6" t="n">
        <v>69</v>
      </c>
      <c r="B73" s="6" t="s">
        <v>330</v>
      </c>
      <c r="C73" s="6" t="s">
        <v>331</v>
      </c>
      <c r="D73" s="7" t="n">
        <v>1891</v>
      </c>
      <c r="E73" s="6" t="s">
        <v>127</v>
      </c>
      <c r="F73" s="6" t="s">
        <v>44</v>
      </c>
      <c r="G73" s="6" t="s">
        <v>40</v>
      </c>
      <c r="H73" s="6" t="s">
        <v>78</v>
      </c>
      <c r="I73" s="6" t="s">
        <v>332</v>
      </c>
      <c r="J73" s="8" t="n">
        <v>21</v>
      </c>
      <c r="K73" s="8" t="n">
        <f aca="false">ROUND(J73*$C$2,0)-0.1</f>
        <v>29.9</v>
      </c>
      <c r="L73" s="9" t="n">
        <v>4.13</v>
      </c>
      <c r="M73" s="10" t="n">
        <v>1600000</v>
      </c>
      <c r="N73" s="11" t="s">
        <v>333</v>
      </c>
    </row>
    <row r="74" customFormat="false" ht="46.25" hidden="false" customHeight="false" outlineLevel="0" collapsed="false">
      <c r="A74" s="6" t="n">
        <v>70</v>
      </c>
      <c r="B74" s="6" t="s">
        <v>334</v>
      </c>
      <c r="C74" s="6" t="s">
        <v>335</v>
      </c>
      <c r="D74" s="7" t="n">
        <v>1868</v>
      </c>
      <c r="E74" s="6" t="s">
        <v>19</v>
      </c>
      <c r="F74" s="6" t="s">
        <v>336</v>
      </c>
      <c r="G74" s="6" t="s">
        <v>40</v>
      </c>
      <c r="H74" s="6" t="s">
        <v>22</v>
      </c>
      <c r="I74" s="6" t="s">
        <v>337</v>
      </c>
      <c r="J74" s="8" t="n">
        <v>22</v>
      </c>
      <c r="K74" s="8" t="n">
        <f aca="false">ROUND(J74*$C$2,0)-0.1</f>
        <v>31.9</v>
      </c>
      <c r="L74" s="9" t="n">
        <v>4.15</v>
      </c>
      <c r="M74" s="10" t="n">
        <v>2600000</v>
      </c>
      <c r="N74" s="11" t="s">
        <v>338</v>
      </c>
    </row>
    <row r="75" customFormat="false" ht="46.25" hidden="false" customHeight="false" outlineLevel="0" collapsed="false">
      <c r="A75" s="6" t="n">
        <v>71</v>
      </c>
      <c r="B75" s="6" t="s">
        <v>339</v>
      </c>
      <c r="C75" s="6" t="s">
        <v>340</v>
      </c>
      <c r="D75" s="7" t="n">
        <v>1884</v>
      </c>
      <c r="E75" s="6" t="s">
        <v>19</v>
      </c>
      <c r="F75" s="6" t="s">
        <v>341</v>
      </c>
      <c r="G75" s="6" t="s">
        <v>40</v>
      </c>
      <c r="H75" s="6" t="s">
        <v>22</v>
      </c>
      <c r="I75" s="6" t="s">
        <v>342</v>
      </c>
      <c r="J75" s="8" t="n">
        <v>22</v>
      </c>
      <c r="K75" s="8" t="n">
        <f aca="false">ROUND(J75*$C$2,0)-0.1</f>
        <v>31.9</v>
      </c>
      <c r="L75" s="9" t="n">
        <v>3.84</v>
      </c>
      <c r="M75" s="10" t="n">
        <v>1300000</v>
      </c>
      <c r="N75" s="11" t="s">
        <v>343</v>
      </c>
    </row>
    <row r="76" customFormat="false" ht="46.25" hidden="false" customHeight="false" outlineLevel="0" collapsed="false">
      <c r="A76" s="6" t="n">
        <v>72</v>
      </c>
      <c r="B76" s="6" t="s">
        <v>344</v>
      </c>
      <c r="C76" s="6" t="s">
        <v>345</v>
      </c>
      <c r="D76" s="7" t="n">
        <v>1850</v>
      </c>
      <c r="E76" s="6" t="s">
        <v>147</v>
      </c>
      <c r="F76" s="6" t="s">
        <v>20</v>
      </c>
      <c r="G76" s="6" t="s">
        <v>21</v>
      </c>
      <c r="H76" s="6" t="s">
        <v>22</v>
      </c>
      <c r="I76" s="6" t="s">
        <v>346</v>
      </c>
      <c r="J76" s="8" t="n">
        <v>21</v>
      </c>
      <c r="K76" s="8" t="n">
        <f aca="false">ROUND(J76*$C$2,0)-0.1</f>
        <v>29.9</v>
      </c>
      <c r="L76" s="9" t="n">
        <v>3.44</v>
      </c>
      <c r="M76" s="10" t="n">
        <v>950000</v>
      </c>
      <c r="N76" s="11" t="s">
        <v>347</v>
      </c>
    </row>
    <row r="77" customFormat="false" ht="46.25" hidden="false" customHeight="false" outlineLevel="0" collapsed="false">
      <c r="A77" s="6" t="n">
        <v>73</v>
      </c>
      <c r="B77" s="6" t="s">
        <v>348</v>
      </c>
      <c r="C77" s="6" t="s">
        <v>349</v>
      </c>
      <c r="D77" s="7" t="n">
        <v>1954</v>
      </c>
      <c r="E77" s="6" t="s">
        <v>19</v>
      </c>
      <c r="F77" s="6" t="s">
        <v>108</v>
      </c>
      <c r="G77" s="6" t="s">
        <v>69</v>
      </c>
      <c r="H77" s="6" t="s">
        <v>78</v>
      </c>
      <c r="I77" s="6" t="s">
        <v>350</v>
      </c>
      <c r="J77" s="8" t="n">
        <v>22</v>
      </c>
      <c r="K77" s="8" t="n">
        <f aca="false">ROUND(J77*$C$2,0)-0.1</f>
        <v>31.9</v>
      </c>
      <c r="L77" s="9" t="n">
        <v>3.7</v>
      </c>
      <c r="M77" s="10" t="n">
        <v>3000000</v>
      </c>
      <c r="N77" s="11" t="s">
        <v>351</v>
      </c>
    </row>
    <row r="78" customFormat="false" ht="46.25" hidden="false" customHeight="false" outlineLevel="0" collapsed="false">
      <c r="A78" s="6" t="n">
        <v>74</v>
      </c>
      <c r="B78" s="6" t="s">
        <v>352</v>
      </c>
      <c r="C78" s="6" t="s">
        <v>353</v>
      </c>
      <c r="D78" s="7" t="n">
        <v>1953</v>
      </c>
      <c r="E78" s="6" t="s">
        <v>92</v>
      </c>
      <c r="F78" s="6" t="s">
        <v>354</v>
      </c>
      <c r="G78" s="6" t="s">
        <v>69</v>
      </c>
      <c r="H78" s="6" t="s">
        <v>78</v>
      </c>
      <c r="I78" s="6" t="s">
        <v>355</v>
      </c>
      <c r="J78" s="8" t="n">
        <v>21</v>
      </c>
      <c r="K78" s="8" t="n">
        <f aca="false">ROUND(J78*$C$2,0)-0.1</f>
        <v>29.9</v>
      </c>
      <c r="L78" s="9" t="n">
        <v>3.97</v>
      </c>
      <c r="M78" s="10" t="n">
        <v>2600000</v>
      </c>
      <c r="N78" s="11" t="s">
        <v>356</v>
      </c>
    </row>
    <row r="79" customFormat="false" ht="46.25" hidden="false" customHeight="false" outlineLevel="0" collapsed="false">
      <c r="A79" s="6" t="n">
        <v>75</v>
      </c>
      <c r="B79" s="6" t="s">
        <v>357</v>
      </c>
      <c r="C79" s="6" t="s">
        <v>358</v>
      </c>
      <c r="D79" s="7" t="s">
        <v>359</v>
      </c>
      <c r="E79" s="6" t="s">
        <v>197</v>
      </c>
      <c r="F79" s="6" t="s">
        <v>154</v>
      </c>
      <c r="G79" s="6" t="s">
        <v>40</v>
      </c>
      <c r="H79" s="6" t="s">
        <v>22</v>
      </c>
      <c r="I79" s="6" t="s">
        <v>360</v>
      </c>
      <c r="J79" s="8" t="n">
        <v>25</v>
      </c>
      <c r="K79" s="8" t="n">
        <f aca="false">ROUND(J79*$C$2,0)-0.1</f>
        <v>35.9</v>
      </c>
      <c r="L79" s="9" t="n">
        <v>3.79</v>
      </c>
      <c r="M79" s="10" t="n">
        <v>1100000</v>
      </c>
      <c r="N79" s="11" t="s">
        <v>361</v>
      </c>
    </row>
    <row r="80" customFormat="false" ht="57.45" hidden="false" customHeight="false" outlineLevel="0" collapsed="false">
      <c r="A80" s="6" t="n">
        <v>76</v>
      </c>
      <c r="B80" s="6" t="s">
        <v>362</v>
      </c>
      <c r="C80" s="6" t="s">
        <v>363</v>
      </c>
      <c r="D80" s="7" t="n">
        <v>1936</v>
      </c>
      <c r="E80" s="6" t="s">
        <v>147</v>
      </c>
      <c r="F80" s="6" t="s">
        <v>237</v>
      </c>
      <c r="G80" s="6" t="s">
        <v>40</v>
      </c>
      <c r="H80" s="6" t="s">
        <v>35</v>
      </c>
      <c r="I80" s="6" t="s">
        <v>364</v>
      </c>
      <c r="J80" s="8" t="n">
        <v>35</v>
      </c>
      <c r="K80" s="8" t="n">
        <f aca="false">ROUND(J80*$C$2,0)-0.1</f>
        <v>50.9</v>
      </c>
      <c r="L80" s="9" t="n">
        <v>4.31</v>
      </c>
      <c r="M80" s="10" t="n">
        <v>1300000</v>
      </c>
      <c r="N80" s="11" t="s">
        <v>365</v>
      </c>
    </row>
    <row r="81" customFormat="false" ht="46.25" hidden="false" customHeight="false" outlineLevel="0" collapsed="false">
      <c r="A81" s="6" t="n">
        <v>77</v>
      </c>
      <c r="B81" s="6" t="s">
        <v>366</v>
      </c>
      <c r="C81" s="6" t="s">
        <v>367</v>
      </c>
      <c r="D81" s="7" t="n">
        <v>1938</v>
      </c>
      <c r="E81" s="6" t="s">
        <v>127</v>
      </c>
      <c r="F81" s="6" t="s">
        <v>108</v>
      </c>
      <c r="G81" s="6" t="s">
        <v>40</v>
      </c>
      <c r="H81" s="6" t="s">
        <v>22</v>
      </c>
      <c r="I81" s="6" t="s">
        <v>368</v>
      </c>
      <c r="J81" s="8" t="n">
        <v>25</v>
      </c>
      <c r="K81" s="8" t="n">
        <f aca="false">ROUND(J81*$C$2,0)-0.1</f>
        <v>35.9</v>
      </c>
      <c r="L81" s="9" t="n">
        <v>4.25</v>
      </c>
      <c r="M81" s="10" t="n">
        <v>900000</v>
      </c>
      <c r="N81" s="11" t="s">
        <v>369</v>
      </c>
    </row>
    <row r="82" customFormat="false" ht="46.25" hidden="false" customHeight="false" outlineLevel="0" collapsed="false">
      <c r="A82" s="6" t="n">
        <v>78</v>
      </c>
      <c r="B82" s="6" t="s">
        <v>370</v>
      </c>
      <c r="C82" s="6" t="s">
        <v>371</v>
      </c>
      <c r="D82" s="7" t="n">
        <v>1954</v>
      </c>
      <c r="E82" s="6" t="s">
        <v>107</v>
      </c>
      <c r="F82" s="6" t="s">
        <v>154</v>
      </c>
      <c r="G82" s="6" t="s">
        <v>40</v>
      </c>
      <c r="H82" s="6" t="s">
        <v>35</v>
      </c>
      <c r="I82" s="6" t="s">
        <v>372</v>
      </c>
      <c r="J82" s="8" t="n">
        <v>39</v>
      </c>
      <c r="K82" s="8" t="n">
        <f aca="false">ROUND(J82*$C$2,0)-0.1</f>
        <v>56.9</v>
      </c>
      <c r="L82" s="9" t="n">
        <v>4.53</v>
      </c>
      <c r="M82" s="10" t="n">
        <v>700000</v>
      </c>
      <c r="N82" s="11" t="s">
        <v>373</v>
      </c>
    </row>
    <row r="83" customFormat="false" ht="46.25" hidden="false" customHeight="false" outlineLevel="0" collapsed="false">
      <c r="A83" s="6" t="n">
        <v>79</v>
      </c>
      <c r="B83" s="6" t="s">
        <v>374</v>
      </c>
      <c r="C83" s="6" t="s">
        <v>375</v>
      </c>
      <c r="D83" s="7" t="n">
        <v>1961</v>
      </c>
      <c r="E83" s="6" t="s">
        <v>19</v>
      </c>
      <c r="F83" s="6" t="s">
        <v>294</v>
      </c>
      <c r="G83" s="6" t="s">
        <v>40</v>
      </c>
      <c r="H83" s="6" t="s">
        <v>35</v>
      </c>
      <c r="I83" s="6" t="s">
        <v>376</v>
      </c>
      <c r="J83" s="8" t="n">
        <v>27</v>
      </c>
      <c r="K83" s="8" t="n">
        <f aca="false">ROUND(J83*$C$2,0)-0.1</f>
        <v>38.9</v>
      </c>
      <c r="L83" s="9" t="n">
        <v>3.99</v>
      </c>
      <c r="M83" s="10" t="n">
        <v>850000</v>
      </c>
      <c r="N83" s="11" t="s">
        <v>377</v>
      </c>
    </row>
    <row r="84" customFormat="false" ht="46.25" hidden="false" customHeight="false" outlineLevel="0" collapsed="false">
      <c r="A84" s="6" t="n">
        <v>80</v>
      </c>
      <c r="B84" s="6" t="s">
        <v>378</v>
      </c>
      <c r="C84" s="6" t="s">
        <v>379</v>
      </c>
      <c r="D84" s="7" t="n">
        <v>1969</v>
      </c>
      <c r="E84" s="6" t="s">
        <v>19</v>
      </c>
      <c r="F84" s="6" t="s">
        <v>380</v>
      </c>
      <c r="G84" s="6" t="s">
        <v>69</v>
      </c>
      <c r="H84" s="6" t="s">
        <v>78</v>
      </c>
      <c r="I84" s="6" t="s">
        <v>381</v>
      </c>
      <c r="J84" s="8" t="n">
        <v>24</v>
      </c>
      <c r="K84" s="8" t="n">
        <f aca="false">ROUND(J84*$C$2,0)-0.1</f>
        <v>34.9</v>
      </c>
      <c r="L84" s="9" t="n">
        <v>4.1</v>
      </c>
      <c r="M84" s="10" t="n">
        <v>1400000</v>
      </c>
      <c r="N84" s="11" t="s">
        <v>382</v>
      </c>
    </row>
    <row r="85" customFormat="false" ht="46.25" hidden="false" customHeight="false" outlineLevel="0" collapsed="false">
      <c r="A85" s="6" t="n">
        <v>81</v>
      </c>
      <c r="B85" s="6" t="s">
        <v>383</v>
      </c>
      <c r="C85" s="6" t="s">
        <v>192</v>
      </c>
      <c r="D85" s="7" t="n">
        <v>1942</v>
      </c>
      <c r="E85" s="6" t="s">
        <v>19</v>
      </c>
      <c r="F85" s="6" t="s">
        <v>113</v>
      </c>
      <c r="G85" s="6" t="s">
        <v>69</v>
      </c>
      <c r="H85" s="6" t="s">
        <v>78</v>
      </c>
      <c r="I85" s="6" t="s">
        <v>384</v>
      </c>
      <c r="J85" s="8" t="n">
        <v>20</v>
      </c>
      <c r="K85" s="8" t="n">
        <f aca="false">ROUND(J85*$C$2,0)-0.1</f>
        <v>28.9</v>
      </c>
      <c r="L85" s="9" t="n">
        <v>4.02</v>
      </c>
      <c r="M85" s="10" t="n">
        <v>1100000</v>
      </c>
      <c r="N85" s="11" t="s">
        <v>385</v>
      </c>
    </row>
    <row r="86" customFormat="false" ht="46.25" hidden="false" customHeight="false" outlineLevel="0" collapsed="false">
      <c r="A86" s="6" t="n">
        <v>82</v>
      </c>
      <c r="B86" s="6" t="s">
        <v>386</v>
      </c>
      <c r="C86" s="6" t="s">
        <v>387</v>
      </c>
      <c r="D86" s="7" t="n">
        <v>1915</v>
      </c>
      <c r="E86" s="6" t="s">
        <v>19</v>
      </c>
      <c r="F86" s="6" t="s">
        <v>388</v>
      </c>
      <c r="G86" s="6" t="s">
        <v>69</v>
      </c>
      <c r="H86" s="6" t="s">
        <v>78</v>
      </c>
      <c r="I86" s="6" t="s">
        <v>389</v>
      </c>
      <c r="J86" s="8" t="n">
        <v>19</v>
      </c>
      <c r="K86" s="8" t="n">
        <f aca="false">ROUND(J86*$C$2,0)-0.1</f>
        <v>27.9</v>
      </c>
      <c r="L86" s="9" t="n">
        <v>3.84</v>
      </c>
      <c r="M86" s="10" t="n">
        <v>900000</v>
      </c>
      <c r="N86" s="11" t="s">
        <v>390</v>
      </c>
    </row>
    <row r="87" customFormat="false" ht="35.05" hidden="false" customHeight="false" outlineLevel="0" collapsed="false">
      <c r="A87" s="6" t="n">
        <v>83</v>
      </c>
      <c r="B87" s="6" t="s">
        <v>391</v>
      </c>
      <c r="C87" s="6" t="s">
        <v>392</v>
      </c>
      <c r="D87" s="7" t="n">
        <v>1952</v>
      </c>
      <c r="E87" s="6" t="s">
        <v>19</v>
      </c>
      <c r="F87" s="6" t="s">
        <v>113</v>
      </c>
      <c r="G87" s="6" t="s">
        <v>40</v>
      </c>
      <c r="H87" s="6" t="s">
        <v>35</v>
      </c>
      <c r="I87" s="6" t="s">
        <v>393</v>
      </c>
      <c r="J87" s="8" t="n">
        <v>28</v>
      </c>
      <c r="K87" s="8" t="n">
        <f aca="false">ROUND(J87*$C$2,0)-0.1</f>
        <v>40.9</v>
      </c>
      <c r="L87" s="9" t="n">
        <v>3.89</v>
      </c>
      <c r="M87" s="10" t="n">
        <v>200000</v>
      </c>
      <c r="N87" s="11" t="s">
        <v>394</v>
      </c>
    </row>
    <row r="88" customFormat="false" ht="35.05" hidden="false" customHeight="false" outlineLevel="0" collapsed="false">
      <c r="A88" s="6" t="n">
        <v>84</v>
      </c>
      <c r="B88" s="6" t="s">
        <v>395</v>
      </c>
      <c r="C88" s="6" t="s">
        <v>396</v>
      </c>
      <c r="D88" s="7" t="n">
        <v>1952</v>
      </c>
      <c r="E88" s="6" t="s">
        <v>19</v>
      </c>
      <c r="F88" s="6" t="s">
        <v>165</v>
      </c>
      <c r="G88" s="6" t="s">
        <v>69</v>
      </c>
      <c r="H88" s="6" t="s">
        <v>78</v>
      </c>
      <c r="I88" s="6" t="s">
        <v>397</v>
      </c>
      <c r="J88" s="8" t="n">
        <v>19</v>
      </c>
      <c r="K88" s="8" t="n">
        <f aca="false">ROUND(J88*$C$2,0)-0.1</f>
        <v>27.9</v>
      </c>
      <c r="L88" s="9" t="n">
        <v>3.79</v>
      </c>
      <c r="M88" s="10" t="n">
        <v>1100000</v>
      </c>
      <c r="N88" s="11" t="s">
        <v>398</v>
      </c>
    </row>
    <row r="89" customFormat="false" ht="46.25" hidden="false" customHeight="false" outlineLevel="0" collapsed="false">
      <c r="A89" s="6" t="n">
        <v>85</v>
      </c>
      <c r="B89" s="6" t="s">
        <v>399</v>
      </c>
      <c r="C89" s="6" t="s">
        <v>400</v>
      </c>
      <c r="D89" s="7" t="n">
        <v>1902</v>
      </c>
      <c r="E89" s="6" t="s">
        <v>67</v>
      </c>
      <c r="F89" s="6" t="s">
        <v>68</v>
      </c>
      <c r="G89" s="6" t="s">
        <v>69</v>
      </c>
      <c r="H89" s="6" t="s">
        <v>78</v>
      </c>
      <c r="I89" s="6" t="s">
        <v>401</v>
      </c>
      <c r="J89" s="8" t="n">
        <v>21</v>
      </c>
      <c r="K89" s="8" t="n">
        <f aca="false">ROUND(J89*$C$2,0)-0.1</f>
        <v>29.9</v>
      </c>
      <c r="L89" s="9" t="n">
        <v>4.13</v>
      </c>
      <c r="M89" s="10" t="n">
        <v>450000</v>
      </c>
      <c r="N89" s="11" t="s">
        <v>402</v>
      </c>
    </row>
    <row r="90" customFormat="false" ht="46.25" hidden="false" customHeight="false" outlineLevel="0" collapsed="false">
      <c r="A90" s="6" t="n">
        <v>86</v>
      </c>
      <c r="B90" s="6" t="s">
        <v>403</v>
      </c>
      <c r="C90" s="6" t="s">
        <v>404</v>
      </c>
      <c r="D90" s="7" t="n">
        <v>1937</v>
      </c>
      <c r="E90" s="6" t="s">
        <v>19</v>
      </c>
      <c r="F90" s="6" t="s">
        <v>269</v>
      </c>
      <c r="G90" s="6" t="s">
        <v>40</v>
      </c>
      <c r="H90" s="6" t="s">
        <v>22</v>
      </c>
      <c r="I90" s="6" t="s">
        <v>405</v>
      </c>
      <c r="J90" s="8" t="n">
        <v>24</v>
      </c>
      <c r="K90" s="8" t="n">
        <f aca="false">ROUND(J90*$C$2,0)-0.1</f>
        <v>34.9</v>
      </c>
      <c r="L90" s="9" t="n">
        <v>3.94</v>
      </c>
      <c r="M90" s="10" t="n">
        <v>380000</v>
      </c>
      <c r="N90" s="11" t="s">
        <v>406</v>
      </c>
    </row>
    <row r="91" customFormat="false" ht="46.25" hidden="false" customHeight="false" outlineLevel="0" collapsed="false">
      <c r="A91" s="6" t="n">
        <v>87</v>
      </c>
      <c r="B91" s="6" t="s">
        <v>407</v>
      </c>
      <c r="C91" s="6" t="s">
        <v>408</v>
      </c>
      <c r="D91" s="7" t="n">
        <v>1985</v>
      </c>
      <c r="E91" s="6" t="s">
        <v>92</v>
      </c>
      <c r="F91" s="6" t="s">
        <v>34</v>
      </c>
      <c r="G91" s="6" t="s">
        <v>40</v>
      </c>
      <c r="H91" s="6" t="s">
        <v>22</v>
      </c>
      <c r="I91" s="6" t="s">
        <v>409</v>
      </c>
      <c r="J91" s="8" t="n">
        <v>27</v>
      </c>
      <c r="K91" s="8" t="n">
        <f aca="false">ROUND(J91*$C$2,0)-0.1</f>
        <v>38.9</v>
      </c>
      <c r="L91" s="9" t="n">
        <v>4.14</v>
      </c>
      <c r="M91" s="10" t="n">
        <v>2600000</v>
      </c>
      <c r="N91" s="11" t="s">
        <v>410</v>
      </c>
    </row>
    <row r="92" customFormat="false" ht="46.25" hidden="false" customHeight="false" outlineLevel="0" collapsed="false">
      <c r="A92" s="6" t="n">
        <v>88</v>
      </c>
      <c r="B92" s="6" t="s">
        <v>411</v>
      </c>
      <c r="C92" s="6" t="s">
        <v>412</v>
      </c>
      <c r="D92" s="7" t="n">
        <v>1980</v>
      </c>
      <c r="E92" s="6" t="s">
        <v>67</v>
      </c>
      <c r="F92" s="6" t="s">
        <v>242</v>
      </c>
      <c r="G92" s="6" t="s">
        <v>21</v>
      </c>
      <c r="H92" s="6" t="s">
        <v>35</v>
      </c>
      <c r="I92" s="6" t="s">
        <v>413</v>
      </c>
      <c r="J92" s="8" t="n">
        <v>30</v>
      </c>
      <c r="K92" s="8" t="n">
        <f aca="false">ROUND(J92*$C$2,0)-0.1</f>
        <v>43.9</v>
      </c>
      <c r="L92" s="9" t="n">
        <v>4.16</v>
      </c>
      <c r="M92" s="10" t="n">
        <v>400000</v>
      </c>
      <c r="N92" s="11" t="s">
        <v>414</v>
      </c>
    </row>
    <row r="93" customFormat="false" ht="46.25" hidden="false" customHeight="false" outlineLevel="0" collapsed="false">
      <c r="A93" s="6" t="n">
        <v>89</v>
      </c>
      <c r="B93" s="6" t="s">
        <v>415</v>
      </c>
      <c r="C93" s="6" t="s">
        <v>416</v>
      </c>
      <c r="D93" s="7" t="n">
        <v>1981</v>
      </c>
      <c r="E93" s="6" t="s">
        <v>19</v>
      </c>
      <c r="F93" s="6" t="s">
        <v>278</v>
      </c>
      <c r="G93" s="6" t="s">
        <v>21</v>
      </c>
      <c r="H93" s="6" t="s">
        <v>35</v>
      </c>
      <c r="I93" s="6" t="s">
        <v>417</v>
      </c>
      <c r="J93" s="8" t="n">
        <v>30</v>
      </c>
      <c r="K93" s="8" t="n">
        <f aca="false">ROUND(J93*$C$2,0)-0.1</f>
        <v>43.9</v>
      </c>
      <c r="L93" s="9" t="n">
        <v>3.98</v>
      </c>
      <c r="M93" s="10" t="n">
        <v>160000</v>
      </c>
      <c r="N93" s="11" t="s">
        <v>418</v>
      </c>
    </row>
    <row r="94" customFormat="false" ht="46.25" hidden="false" customHeight="false" outlineLevel="0" collapsed="false">
      <c r="A94" s="6" t="n">
        <v>90</v>
      </c>
      <c r="B94" s="6" t="s">
        <v>419</v>
      </c>
      <c r="C94" s="6" t="s">
        <v>420</v>
      </c>
      <c r="D94" s="7" t="n">
        <v>2003</v>
      </c>
      <c r="E94" s="6" t="s">
        <v>19</v>
      </c>
      <c r="F94" s="6" t="s">
        <v>29</v>
      </c>
      <c r="G94" s="6" t="s">
        <v>69</v>
      </c>
      <c r="H94" s="6" t="s">
        <v>22</v>
      </c>
      <c r="I94" s="6" t="s">
        <v>421</v>
      </c>
      <c r="J94" s="8" t="n">
        <v>29</v>
      </c>
      <c r="K94" s="8" t="n">
        <f aca="false">ROUND(J94*$C$2,0)-0.1</f>
        <v>41.9</v>
      </c>
      <c r="L94" s="9" t="n">
        <v>4.34</v>
      </c>
      <c r="M94" s="10" t="n">
        <v>3200000</v>
      </c>
      <c r="N94" s="11" t="s">
        <v>422</v>
      </c>
    </row>
    <row r="95" customFormat="false" ht="46.25" hidden="false" customHeight="false" outlineLevel="0" collapsed="false">
      <c r="A95" s="6" t="n">
        <v>91</v>
      </c>
      <c r="B95" s="6" t="s">
        <v>423</v>
      </c>
      <c r="C95" s="6" t="s">
        <v>424</v>
      </c>
      <c r="D95" s="7" t="n">
        <v>2001</v>
      </c>
      <c r="E95" s="6" t="s">
        <v>19</v>
      </c>
      <c r="F95" s="6" t="s">
        <v>425</v>
      </c>
      <c r="G95" s="6" t="s">
        <v>40</v>
      </c>
      <c r="H95" s="6" t="s">
        <v>22</v>
      </c>
      <c r="I95" s="6" t="s">
        <v>426</v>
      </c>
      <c r="J95" s="8" t="n">
        <v>28</v>
      </c>
      <c r="K95" s="8" t="n">
        <f aca="false">ROUND(J95*$C$2,0)-0.1</f>
        <v>40.9</v>
      </c>
      <c r="L95" s="9" t="n">
        <v>3.94</v>
      </c>
      <c r="M95" s="10" t="n">
        <v>1600000</v>
      </c>
      <c r="N95" s="11" t="s">
        <v>427</v>
      </c>
    </row>
    <row r="96" customFormat="false" ht="46.25" hidden="false" customHeight="false" outlineLevel="0" collapsed="false">
      <c r="A96" s="6" t="n">
        <v>92</v>
      </c>
      <c r="B96" s="6" t="s">
        <v>428</v>
      </c>
      <c r="C96" s="6" t="s">
        <v>429</v>
      </c>
      <c r="D96" s="7" t="n">
        <v>2006</v>
      </c>
      <c r="E96" s="6" t="s">
        <v>19</v>
      </c>
      <c r="F96" s="6" t="s">
        <v>54</v>
      </c>
      <c r="G96" s="6" t="s">
        <v>69</v>
      </c>
      <c r="H96" s="6" t="s">
        <v>22</v>
      </c>
      <c r="I96" s="6" t="s">
        <v>430</v>
      </c>
      <c r="J96" s="8" t="n">
        <v>26</v>
      </c>
      <c r="K96" s="8" t="n">
        <f aca="false">ROUND(J96*$C$2,0)-0.1</f>
        <v>37.9</v>
      </c>
      <c r="L96" s="9" t="n">
        <v>3.98</v>
      </c>
      <c r="M96" s="10" t="n">
        <v>900000</v>
      </c>
      <c r="N96" s="11" t="s">
        <v>431</v>
      </c>
    </row>
    <row r="97" customFormat="false" ht="46.25" hidden="false" customHeight="false" outlineLevel="0" collapsed="false">
      <c r="A97" s="6" t="n">
        <v>93</v>
      </c>
      <c r="B97" s="6" t="s">
        <v>432</v>
      </c>
      <c r="C97" s="6" t="s">
        <v>433</v>
      </c>
      <c r="D97" s="7" t="n">
        <v>2001</v>
      </c>
      <c r="E97" s="6" t="s">
        <v>19</v>
      </c>
      <c r="F97" s="6" t="s">
        <v>20</v>
      </c>
      <c r="G97" s="6" t="s">
        <v>40</v>
      </c>
      <c r="H97" s="6" t="s">
        <v>22</v>
      </c>
      <c r="I97" s="6" t="s">
        <v>434</v>
      </c>
      <c r="J97" s="8" t="n">
        <v>29</v>
      </c>
      <c r="K97" s="8" t="n">
        <f aca="false">ROUND(J97*$C$2,0)-0.1</f>
        <v>41.9</v>
      </c>
      <c r="L97" s="9" t="n">
        <v>3.91</v>
      </c>
      <c r="M97" s="10" t="n">
        <v>650000</v>
      </c>
      <c r="N97" s="11" t="s">
        <v>435</v>
      </c>
    </row>
    <row r="98" customFormat="false" ht="46.25" hidden="false" customHeight="false" outlineLevel="0" collapsed="false">
      <c r="A98" s="6" t="n">
        <v>94</v>
      </c>
      <c r="B98" s="6" t="s">
        <v>436</v>
      </c>
      <c r="C98" s="6" t="s">
        <v>437</v>
      </c>
      <c r="D98" s="7" t="n">
        <v>1988</v>
      </c>
      <c r="E98" s="6" t="s">
        <v>19</v>
      </c>
      <c r="F98" s="6" t="s">
        <v>425</v>
      </c>
      <c r="G98" s="6" t="s">
        <v>69</v>
      </c>
      <c r="H98" s="6" t="s">
        <v>78</v>
      </c>
      <c r="I98" s="6" t="s">
        <v>438</v>
      </c>
      <c r="J98" s="8" t="n">
        <v>24</v>
      </c>
      <c r="K98" s="8" t="n">
        <f aca="false">ROUND(J98*$C$2,0)-0.1</f>
        <v>34.9</v>
      </c>
      <c r="L98" s="9" t="n">
        <v>3.92</v>
      </c>
      <c r="M98" s="10" t="n">
        <v>3200000</v>
      </c>
      <c r="N98" s="11" t="s">
        <v>439</v>
      </c>
    </row>
    <row r="99" customFormat="false" ht="46.25" hidden="false" customHeight="false" outlineLevel="0" collapsed="false">
      <c r="A99" s="6" t="n">
        <v>95</v>
      </c>
      <c r="B99" s="6" t="s">
        <v>440</v>
      </c>
      <c r="C99" s="6" t="s">
        <v>441</v>
      </c>
      <c r="D99" s="7" t="n">
        <v>1979</v>
      </c>
      <c r="E99" s="6" t="s">
        <v>92</v>
      </c>
      <c r="F99" s="6" t="s">
        <v>341</v>
      </c>
      <c r="G99" s="6" t="s">
        <v>69</v>
      </c>
      <c r="H99" s="6" t="s">
        <v>78</v>
      </c>
      <c r="I99" s="6" t="s">
        <v>442</v>
      </c>
      <c r="J99" s="8" t="n">
        <v>22</v>
      </c>
      <c r="K99" s="8" t="n">
        <f aca="false">ROUND(J99*$C$2,0)-0.1</f>
        <v>31.9</v>
      </c>
      <c r="L99" s="9" t="n">
        <v>4.23</v>
      </c>
      <c r="M99" s="10" t="n">
        <v>1900000</v>
      </c>
      <c r="N99" s="11" t="s">
        <v>443</v>
      </c>
    </row>
    <row r="100" customFormat="false" ht="46.25" hidden="false" customHeight="false" outlineLevel="0" collapsed="false">
      <c r="A100" s="6" t="n">
        <v>96</v>
      </c>
      <c r="B100" s="6" t="s">
        <v>444</v>
      </c>
      <c r="C100" s="6" t="s">
        <v>445</v>
      </c>
      <c r="D100" s="7" t="n">
        <v>1997</v>
      </c>
      <c r="E100" s="6" t="s">
        <v>107</v>
      </c>
      <c r="F100" s="6" t="s">
        <v>118</v>
      </c>
      <c r="G100" s="6" t="s">
        <v>69</v>
      </c>
      <c r="H100" s="6" t="s">
        <v>78</v>
      </c>
      <c r="I100" s="6" t="s">
        <v>446</v>
      </c>
      <c r="J100" s="8" t="n">
        <v>25</v>
      </c>
      <c r="K100" s="8" t="n">
        <f aca="false">ROUND(J100*$C$2,0)-0.1</f>
        <v>35.9</v>
      </c>
      <c r="L100" s="9" t="n">
        <v>4.47</v>
      </c>
      <c r="M100" s="10" t="n">
        <v>10000000</v>
      </c>
      <c r="N100" s="11" t="s">
        <v>447</v>
      </c>
    </row>
    <row r="101" customFormat="false" ht="46.25" hidden="false" customHeight="false" outlineLevel="0" collapsed="false">
      <c r="A101" s="6" t="n">
        <v>97</v>
      </c>
      <c r="B101" s="6" t="s">
        <v>448</v>
      </c>
      <c r="C101" s="6" t="s">
        <v>449</v>
      </c>
      <c r="D101" s="7" t="n">
        <v>2003</v>
      </c>
      <c r="E101" s="6" t="s">
        <v>67</v>
      </c>
      <c r="F101" s="6" t="s">
        <v>450</v>
      </c>
      <c r="G101" s="6" t="s">
        <v>69</v>
      </c>
      <c r="H101" s="6" t="s">
        <v>22</v>
      </c>
      <c r="I101" s="6" t="s">
        <v>451</v>
      </c>
      <c r="J101" s="8" t="n">
        <v>27</v>
      </c>
      <c r="K101" s="8" t="n">
        <f aca="false">ROUND(J101*$C$2,0)-0.1</f>
        <v>38.9</v>
      </c>
      <c r="L101" s="9" t="n">
        <v>3.92</v>
      </c>
      <c r="M101" s="10" t="n">
        <v>2300000</v>
      </c>
      <c r="N101" s="11" t="s">
        <v>452</v>
      </c>
    </row>
    <row r="102" customFormat="false" ht="46.25" hidden="false" customHeight="false" outlineLevel="0" collapsed="false">
      <c r="A102" s="6" t="n">
        <v>98</v>
      </c>
      <c r="B102" s="6" t="s">
        <v>453</v>
      </c>
      <c r="C102" s="6" t="s">
        <v>454</v>
      </c>
      <c r="D102" s="7" t="n">
        <v>2008</v>
      </c>
      <c r="E102" s="6" t="s">
        <v>455</v>
      </c>
      <c r="F102" s="6" t="s">
        <v>68</v>
      </c>
      <c r="G102" s="6" t="s">
        <v>69</v>
      </c>
      <c r="H102" s="6" t="s">
        <v>22</v>
      </c>
      <c r="I102" s="6" t="s">
        <v>456</v>
      </c>
      <c r="J102" s="8" t="n">
        <v>27</v>
      </c>
      <c r="K102" s="8" t="n">
        <f aca="false">ROUND(J102*$C$2,0)-0.1</f>
        <v>38.9</v>
      </c>
      <c r="L102" s="9" t="n">
        <v>4.33</v>
      </c>
      <c r="M102" s="10" t="n">
        <v>9000000</v>
      </c>
      <c r="N102" s="11" t="s">
        <v>457</v>
      </c>
    </row>
    <row r="103" customFormat="false" ht="46.25" hidden="false" customHeight="false" outlineLevel="0" collapsed="false">
      <c r="A103" s="6" t="n">
        <v>99</v>
      </c>
      <c r="B103" s="6" t="s">
        <v>458</v>
      </c>
      <c r="C103" s="6" t="s">
        <v>459</v>
      </c>
      <c r="D103" s="7" t="n">
        <v>2005</v>
      </c>
      <c r="E103" s="6" t="s">
        <v>455</v>
      </c>
      <c r="F103" s="6" t="s">
        <v>29</v>
      </c>
      <c r="G103" s="6" t="s">
        <v>40</v>
      </c>
      <c r="H103" s="6" t="s">
        <v>22</v>
      </c>
      <c r="I103" s="6" t="s">
        <v>460</v>
      </c>
      <c r="J103" s="8" t="n">
        <v>30</v>
      </c>
      <c r="K103" s="8" t="n">
        <f aca="false">ROUND(J103*$C$2,0)-0.1</f>
        <v>43.9</v>
      </c>
      <c r="L103" s="9" t="n">
        <v>4.39</v>
      </c>
      <c r="M103" s="10" t="n">
        <v>2600000</v>
      </c>
      <c r="N103" s="11" t="s">
        <v>461</v>
      </c>
    </row>
    <row r="104" customFormat="false" ht="46.25" hidden="false" customHeight="false" outlineLevel="0" collapsed="false">
      <c r="A104" s="6" t="n">
        <v>100</v>
      </c>
      <c r="B104" s="6" t="s">
        <v>462</v>
      </c>
      <c r="C104" s="6" t="s">
        <v>463</v>
      </c>
      <c r="D104" s="7" t="n">
        <v>1996</v>
      </c>
      <c r="E104" s="6" t="s">
        <v>107</v>
      </c>
      <c r="F104" s="6" t="s">
        <v>68</v>
      </c>
      <c r="G104" s="6" t="s">
        <v>40</v>
      </c>
      <c r="H104" s="6" t="s">
        <v>35</v>
      </c>
      <c r="I104" s="6" t="s">
        <v>464</v>
      </c>
      <c r="J104" s="8" t="n">
        <v>34</v>
      </c>
      <c r="K104" s="8" t="n">
        <f aca="false">ROUND(J104*$C$2,0)-0.1</f>
        <v>48.9</v>
      </c>
      <c r="L104" s="9" t="n">
        <v>4.44</v>
      </c>
      <c r="M104" s="10" t="n">
        <v>2500000</v>
      </c>
      <c r="N104" s="11" t="s">
        <v>465</v>
      </c>
    </row>
    <row r="105" customFormat="false" ht="46.25" hidden="false" customHeight="false" outlineLevel="0" collapsed="false">
      <c r="A105" s="6" t="n">
        <v>101</v>
      </c>
      <c r="B105" s="6" t="s">
        <v>466</v>
      </c>
      <c r="C105" s="6" t="s">
        <v>467</v>
      </c>
      <c r="D105" s="7" t="n">
        <v>2009</v>
      </c>
      <c r="E105" s="6" t="s">
        <v>147</v>
      </c>
      <c r="F105" s="6" t="s">
        <v>242</v>
      </c>
      <c r="G105" s="6" t="s">
        <v>21</v>
      </c>
      <c r="H105" s="6" t="s">
        <v>35</v>
      </c>
      <c r="I105" s="6" t="s">
        <v>468</v>
      </c>
      <c r="J105" s="8" t="n">
        <v>33</v>
      </c>
      <c r="K105" s="8" t="n">
        <f aca="false">ROUND(J105*$C$2,0)-0.1</f>
        <v>47.9</v>
      </c>
      <c r="L105" s="9" t="n">
        <v>3.88</v>
      </c>
      <c r="M105" s="10" t="n">
        <v>230000</v>
      </c>
      <c r="N105" s="11" t="s">
        <v>469</v>
      </c>
    </row>
    <row r="106" customFormat="false" ht="46.25" hidden="false" customHeight="false" outlineLevel="0" collapsed="false">
      <c r="A106" s="6" t="n">
        <v>102</v>
      </c>
      <c r="B106" s="6" t="s">
        <v>470</v>
      </c>
      <c r="C106" s="6" t="s">
        <v>471</v>
      </c>
      <c r="D106" s="7" t="n">
        <v>2001</v>
      </c>
      <c r="E106" s="6" t="s">
        <v>67</v>
      </c>
      <c r="F106" s="6" t="s">
        <v>237</v>
      </c>
      <c r="G106" s="6" t="s">
        <v>40</v>
      </c>
      <c r="H106" s="6" t="s">
        <v>22</v>
      </c>
      <c r="I106" s="6" t="s">
        <v>472</v>
      </c>
      <c r="J106" s="8" t="n">
        <v>30</v>
      </c>
      <c r="K106" s="8" t="n">
        <f aca="false">ROUND(J106*$C$2,0)-0.1</f>
        <v>43.9</v>
      </c>
      <c r="L106" s="9" t="n">
        <v>4.27</v>
      </c>
      <c r="M106" s="10" t="n">
        <v>650000</v>
      </c>
      <c r="N106" s="11" t="s">
        <v>473</v>
      </c>
    </row>
    <row r="107" customFormat="false" ht="46.25" hidden="false" customHeight="false" outlineLevel="0" collapsed="false">
      <c r="A107" s="6" t="n">
        <v>103</v>
      </c>
      <c r="B107" s="6" t="s">
        <v>474</v>
      </c>
      <c r="C107" s="6" t="s">
        <v>475</v>
      </c>
      <c r="D107" s="7" t="n">
        <v>2018</v>
      </c>
      <c r="E107" s="6" t="s">
        <v>19</v>
      </c>
      <c r="F107" s="6" t="s">
        <v>20</v>
      </c>
      <c r="G107" s="6" t="s">
        <v>69</v>
      </c>
      <c r="H107" s="6" t="s">
        <v>78</v>
      </c>
      <c r="I107" s="6" t="s">
        <v>476</v>
      </c>
      <c r="J107" s="8" t="n">
        <v>28</v>
      </c>
      <c r="K107" s="8" t="n">
        <f aca="false">ROUND(J107*$C$2,0)-0.1</f>
        <v>40.9</v>
      </c>
      <c r="L107" s="9" t="n">
        <v>3.84</v>
      </c>
      <c r="M107" s="10" t="n">
        <v>1500000</v>
      </c>
      <c r="N107" s="11" t="s">
        <v>477</v>
      </c>
    </row>
    <row r="108" customFormat="false" ht="46.25" hidden="false" customHeight="false" outlineLevel="0" collapsed="false">
      <c r="A108" s="6" t="n">
        <v>104</v>
      </c>
      <c r="B108" s="6" t="s">
        <v>478</v>
      </c>
      <c r="C108" s="6" t="s">
        <v>479</v>
      </c>
      <c r="D108" s="7" t="n">
        <v>2018</v>
      </c>
      <c r="E108" s="6" t="s">
        <v>19</v>
      </c>
      <c r="F108" s="6" t="s">
        <v>29</v>
      </c>
      <c r="G108" s="6" t="s">
        <v>40</v>
      </c>
      <c r="H108" s="6" t="s">
        <v>22</v>
      </c>
      <c r="I108" s="6" t="s">
        <v>480</v>
      </c>
      <c r="J108" s="8" t="n">
        <v>30</v>
      </c>
      <c r="K108" s="8" t="n">
        <f aca="false">ROUND(J108*$C$2,0)-0.1</f>
        <v>43.9</v>
      </c>
      <c r="L108" s="9" t="n">
        <v>4.45</v>
      </c>
      <c r="M108" s="10" t="n">
        <v>3500000</v>
      </c>
      <c r="N108" s="11" t="s">
        <v>481</v>
      </c>
    </row>
    <row r="109" customFormat="false" ht="46.25" hidden="false" customHeight="false" outlineLevel="0" collapsed="false">
      <c r="A109" s="6" t="n">
        <v>105</v>
      </c>
      <c r="B109" s="6" t="s">
        <v>482</v>
      </c>
      <c r="C109" s="6" t="s">
        <v>483</v>
      </c>
      <c r="D109" s="7" t="s">
        <v>484</v>
      </c>
      <c r="E109" s="6" t="s">
        <v>178</v>
      </c>
      <c r="F109" s="6" t="s">
        <v>148</v>
      </c>
      <c r="G109" s="6" t="s">
        <v>40</v>
      </c>
      <c r="H109" s="6" t="s">
        <v>78</v>
      </c>
      <c r="I109" s="6" t="s">
        <v>485</v>
      </c>
      <c r="J109" s="8" t="n">
        <v>19</v>
      </c>
      <c r="K109" s="8" t="n">
        <f aca="false">ROUND(J109*$C$2,0)-0.1</f>
        <v>27.9</v>
      </c>
      <c r="L109" s="9" t="n">
        <v>3.97</v>
      </c>
      <c r="M109" s="10" t="n">
        <v>300000</v>
      </c>
      <c r="N109" s="11" t="s">
        <v>486</v>
      </c>
    </row>
    <row r="110" customFormat="false" ht="46.25" hidden="false" customHeight="false" outlineLevel="0" collapsed="false">
      <c r="A110" s="6" t="n">
        <v>106</v>
      </c>
      <c r="B110" s="6" t="s">
        <v>487</v>
      </c>
      <c r="C110" s="6" t="s">
        <v>488</v>
      </c>
      <c r="D110" s="7" t="n">
        <v>1532</v>
      </c>
      <c r="E110" s="6" t="s">
        <v>164</v>
      </c>
      <c r="F110" s="6" t="s">
        <v>113</v>
      </c>
      <c r="G110" s="6" t="s">
        <v>69</v>
      </c>
      <c r="H110" s="6" t="s">
        <v>78</v>
      </c>
      <c r="I110" s="6" t="s">
        <v>489</v>
      </c>
      <c r="J110" s="8" t="n">
        <v>19</v>
      </c>
      <c r="K110" s="8" t="n">
        <f aca="false">ROUND(J110*$C$2,0)-0.1</f>
        <v>27.9</v>
      </c>
      <c r="L110" s="9" t="n">
        <v>3.84</v>
      </c>
      <c r="M110" s="10" t="n">
        <v>330000</v>
      </c>
      <c r="N110" s="11" t="s">
        <v>490</v>
      </c>
    </row>
    <row r="111" customFormat="false" ht="46.25" hidden="false" customHeight="false" outlineLevel="0" collapsed="false">
      <c r="A111" s="6" t="n">
        <v>107</v>
      </c>
      <c r="B111" s="6" t="s">
        <v>491</v>
      </c>
      <c r="C111" s="6" t="s">
        <v>492</v>
      </c>
      <c r="D111" s="7" t="n">
        <v>1776</v>
      </c>
      <c r="E111" s="6" t="s">
        <v>178</v>
      </c>
      <c r="F111" s="6" t="s">
        <v>148</v>
      </c>
      <c r="G111" s="6" t="s">
        <v>21</v>
      </c>
      <c r="H111" s="6" t="s">
        <v>35</v>
      </c>
      <c r="I111" s="6" t="s">
        <v>493</v>
      </c>
      <c r="J111" s="8" t="n">
        <v>36</v>
      </c>
      <c r="K111" s="8" t="n">
        <f aca="false">ROUND(J111*$C$2,0)-0.1</f>
        <v>51.9</v>
      </c>
      <c r="L111" s="9" t="n">
        <v>3.9</v>
      </c>
      <c r="M111" s="10" t="n">
        <v>50000</v>
      </c>
      <c r="N111" s="11" t="s">
        <v>494</v>
      </c>
    </row>
    <row r="112" customFormat="false" ht="46.25" hidden="false" customHeight="false" outlineLevel="0" collapsed="false">
      <c r="A112" s="6" t="n">
        <v>108</v>
      </c>
      <c r="B112" s="6" t="s">
        <v>495</v>
      </c>
      <c r="C112" s="6" t="s">
        <v>496</v>
      </c>
      <c r="D112" s="7" t="n">
        <v>1859</v>
      </c>
      <c r="E112" s="6" t="s">
        <v>159</v>
      </c>
      <c r="F112" s="6" t="s">
        <v>148</v>
      </c>
      <c r="G112" s="6" t="s">
        <v>21</v>
      </c>
      <c r="H112" s="6" t="s">
        <v>35</v>
      </c>
      <c r="I112" s="6" t="s">
        <v>497</v>
      </c>
      <c r="J112" s="8" t="n">
        <v>30</v>
      </c>
      <c r="K112" s="8" t="n">
        <f aca="false">ROUND(J112*$C$2,0)-0.1</f>
        <v>43.9</v>
      </c>
      <c r="L112" s="9" t="n">
        <v>4</v>
      </c>
      <c r="M112" s="10" t="n">
        <v>140000</v>
      </c>
      <c r="N112" s="11" t="s">
        <v>498</v>
      </c>
    </row>
    <row r="113" customFormat="false" ht="46.25" hidden="false" customHeight="false" outlineLevel="0" collapsed="false">
      <c r="A113" s="6" t="n">
        <v>109</v>
      </c>
      <c r="B113" s="6" t="s">
        <v>499</v>
      </c>
      <c r="C113" s="6" t="s">
        <v>500</v>
      </c>
      <c r="D113" s="7" t="n">
        <v>1947</v>
      </c>
      <c r="E113" s="6" t="s">
        <v>153</v>
      </c>
      <c r="F113" s="6" t="s">
        <v>29</v>
      </c>
      <c r="G113" s="6" t="s">
        <v>40</v>
      </c>
      <c r="H113" s="6" t="s">
        <v>22</v>
      </c>
      <c r="I113" s="6" t="s">
        <v>501</v>
      </c>
      <c r="J113" s="8" t="n">
        <v>24</v>
      </c>
      <c r="K113" s="8" t="n">
        <f aca="false">ROUND(J113*$C$2,0)-0.1</f>
        <v>34.9</v>
      </c>
      <c r="L113" s="9" t="n">
        <v>4.18</v>
      </c>
      <c r="M113" s="10" t="n">
        <v>3800000</v>
      </c>
      <c r="N113" s="11" t="s">
        <v>502</v>
      </c>
    </row>
    <row r="114" customFormat="false" ht="46.25" hidden="false" customHeight="false" outlineLevel="0" collapsed="false">
      <c r="A114" s="6" t="n">
        <v>110</v>
      </c>
      <c r="B114" s="6" t="s">
        <v>503</v>
      </c>
      <c r="C114" s="6" t="s">
        <v>504</v>
      </c>
      <c r="D114" s="7" t="n">
        <v>1956</v>
      </c>
      <c r="E114" s="6" t="s">
        <v>153</v>
      </c>
      <c r="F114" s="6" t="s">
        <v>54</v>
      </c>
      <c r="G114" s="6" t="s">
        <v>69</v>
      </c>
      <c r="H114" s="6" t="s">
        <v>78</v>
      </c>
      <c r="I114" s="6" t="s">
        <v>505</v>
      </c>
      <c r="J114" s="8" t="n">
        <v>20</v>
      </c>
      <c r="K114" s="8" t="n">
        <f aca="false">ROUND(J114*$C$2,0)-0.1</f>
        <v>28.9</v>
      </c>
      <c r="L114" s="9" t="n">
        <v>4.35</v>
      </c>
      <c r="M114" s="10" t="n">
        <v>1300000</v>
      </c>
      <c r="N114" s="11" t="s">
        <v>506</v>
      </c>
    </row>
    <row r="115" customFormat="false" ht="46.25" hidden="false" customHeight="false" outlineLevel="0" collapsed="false">
      <c r="A115" s="6" t="n">
        <v>111</v>
      </c>
      <c r="B115" s="6" t="s">
        <v>507</v>
      </c>
      <c r="C115" s="6" t="s">
        <v>508</v>
      </c>
      <c r="D115" s="7" t="n">
        <v>1962</v>
      </c>
      <c r="E115" s="6" t="s">
        <v>159</v>
      </c>
      <c r="F115" s="6" t="s">
        <v>113</v>
      </c>
      <c r="G115" s="6" t="s">
        <v>40</v>
      </c>
      <c r="H115" s="6" t="s">
        <v>22</v>
      </c>
      <c r="I115" s="6" t="s">
        <v>509</v>
      </c>
      <c r="J115" s="8" t="n">
        <v>28</v>
      </c>
      <c r="K115" s="8" t="n">
        <f aca="false">ROUND(J115*$C$2,0)-0.1</f>
        <v>40.9</v>
      </c>
      <c r="L115" s="9" t="n">
        <v>4</v>
      </c>
      <c r="M115" s="10" t="n">
        <v>60000</v>
      </c>
      <c r="N115" s="11" t="s">
        <v>510</v>
      </c>
    </row>
    <row r="116" customFormat="false" ht="35.05" hidden="false" customHeight="false" outlineLevel="0" collapsed="false">
      <c r="A116" s="6" t="n">
        <v>112</v>
      </c>
      <c r="B116" s="6" t="s">
        <v>511</v>
      </c>
      <c r="C116" s="6" t="s">
        <v>512</v>
      </c>
      <c r="D116" s="7" t="n">
        <v>1988</v>
      </c>
      <c r="E116" s="6" t="s">
        <v>159</v>
      </c>
      <c r="F116" s="6" t="s">
        <v>148</v>
      </c>
      <c r="G116" s="6" t="s">
        <v>40</v>
      </c>
      <c r="H116" s="6" t="s">
        <v>22</v>
      </c>
      <c r="I116" s="6" t="s">
        <v>513</v>
      </c>
      <c r="J116" s="8" t="n">
        <v>28</v>
      </c>
      <c r="K116" s="8" t="n">
        <f aca="false">ROUND(J116*$C$2,0)-0.1</f>
        <v>40.9</v>
      </c>
      <c r="L116" s="9" t="n">
        <v>4.2</v>
      </c>
      <c r="M116" s="10" t="n">
        <v>450000</v>
      </c>
      <c r="N116" s="11" t="s">
        <v>514</v>
      </c>
    </row>
    <row r="117" customFormat="false" ht="46.25" hidden="false" customHeight="false" outlineLevel="0" collapsed="false">
      <c r="A117" s="6" t="n">
        <v>113</v>
      </c>
      <c r="B117" s="6" t="s">
        <v>515</v>
      </c>
      <c r="C117" s="6" t="s">
        <v>516</v>
      </c>
      <c r="D117" s="7" t="n">
        <v>1997</v>
      </c>
      <c r="E117" s="6" t="s">
        <v>147</v>
      </c>
      <c r="F117" s="6" t="s">
        <v>148</v>
      </c>
      <c r="G117" s="6" t="s">
        <v>21</v>
      </c>
      <c r="H117" s="6" t="s">
        <v>35</v>
      </c>
      <c r="I117" s="6" t="s">
        <v>517</v>
      </c>
      <c r="J117" s="8" t="n">
        <v>36</v>
      </c>
      <c r="K117" s="8" t="n">
        <f aca="false">ROUND(J117*$C$2,0)-0.1</f>
        <v>51.9</v>
      </c>
      <c r="L117" s="9" t="n">
        <v>4.06</v>
      </c>
      <c r="M117" s="10" t="n">
        <v>480000</v>
      </c>
      <c r="N117" s="11" t="s">
        <v>518</v>
      </c>
    </row>
    <row r="118" customFormat="false" ht="35.05" hidden="false" customHeight="false" outlineLevel="0" collapsed="false">
      <c r="A118" s="6" t="n">
        <v>114</v>
      </c>
      <c r="B118" s="6" t="s">
        <v>519</v>
      </c>
      <c r="C118" s="6" t="s">
        <v>520</v>
      </c>
      <c r="D118" s="7" t="n">
        <v>1976</v>
      </c>
      <c r="E118" s="6" t="s">
        <v>159</v>
      </c>
      <c r="F118" s="6" t="s">
        <v>148</v>
      </c>
      <c r="G118" s="6" t="s">
        <v>40</v>
      </c>
      <c r="H118" s="6" t="s">
        <v>22</v>
      </c>
      <c r="I118" s="6" t="s">
        <v>521</v>
      </c>
      <c r="J118" s="8" t="n">
        <v>30</v>
      </c>
      <c r="K118" s="8" t="n">
        <f aca="false">ROUND(J118*$C$2,0)-0.1</f>
        <v>43.9</v>
      </c>
      <c r="L118" s="9" t="n">
        <v>4.15</v>
      </c>
      <c r="M118" s="10" t="n">
        <v>140000</v>
      </c>
      <c r="N118" s="11" t="s">
        <v>522</v>
      </c>
    </row>
    <row r="119" customFormat="false" ht="46.25" hidden="false" customHeight="false" outlineLevel="0" collapsed="false">
      <c r="A119" s="6" t="n">
        <v>115</v>
      </c>
      <c r="B119" s="6" t="s">
        <v>523</v>
      </c>
      <c r="C119" s="6" t="s">
        <v>524</v>
      </c>
      <c r="D119" s="7" t="n">
        <v>1936</v>
      </c>
      <c r="E119" s="6" t="s">
        <v>178</v>
      </c>
      <c r="F119" s="6" t="s">
        <v>525</v>
      </c>
      <c r="G119" s="6" t="s">
        <v>69</v>
      </c>
      <c r="H119" s="6" t="s">
        <v>78</v>
      </c>
      <c r="I119" s="6" t="s">
        <v>526</v>
      </c>
      <c r="J119" s="8" t="n">
        <v>22</v>
      </c>
      <c r="K119" s="8" t="n">
        <f aca="false">ROUND(J119*$C$2,0)-0.1</f>
        <v>31.9</v>
      </c>
      <c r="L119" s="9" t="n">
        <v>4.21</v>
      </c>
      <c r="M119" s="10" t="n">
        <v>1000000</v>
      </c>
      <c r="N119" s="11" t="s">
        <v>527</v>
      </c>
    </row>
    <row r="120" customFormat="false" ht="46.25" hidden="false" customHeight="false" outlineLevel="0" collapsed="false">
      <c r="A120" s="6" t="n">
        <v>116</v>
      </c>
      <c r="B120" s="6" t="s">
        <v>528</v>
      </c>
      <c r="C120" s="6" t="s">
        <v>529</v>
      </c>
      <c r="D120" s="7" t="n">
        <v>1989</v>
      </c>
      <c r="E120" s="6" t="s">
        <v>178</v>
      </c>
      <c r="F120" s="6" t="s">
        <v>425</v>
      </c>
      <c r="G120" s="6" t="s">
        <v>40</v>
      </c>
      <c r="H120" s="6" t="s">
        <v>22</v>
      </c>
      <c r="I120" s="6" t="s">
        <v>530</v>
      </c>
      <c r="J120" s="8" t="n">
        <v>29</v>
      </c>
      <c r="K120" s="8" t="n">
        <f aca="false">ROUND(J120*$C$2,0)-0.1</f>
        <v>41.9</v>
      </c>
      <c r="L120" s="9" t="n">
        <v>4.12</v>
      </c>
      <c r="M120" s="10" t="n">
        <v>600000</v>
      </c>
      <c r="N120" s="11" t="s">
        <v>531</v>
      </c>
    </row>
    <row r="121" customFormat="false" ht="46.25" hidden="false" customHeight="false" outlineLevel="0" collapsed="false">
      <c r="A121" s="6" t="n">
        <v>117</v>
      </c>
      <c r="B121" s="6" t="s">
        <v>532</v>
      </c>
      <c r="C121" s="6" t="s">
        <v>533</v>
      </c>
      <c r="D121" s="7" t="n">
        <v>2018</v>
      </c>
      <c r="E121" s="6" t="s">
        <v>178</v>
      </c>
      <c r="F121" s="6" t="s">
        <v>525</v>
      </c>
      <c r="G121" s="6" t="s">
        <v>69</v>
      </c>
      <c r="H121" s="6" t="s">
        <v>78</v>
      </c>
      <c r="I121" s="6" t="s">
        <v>534</v>
      </c>
      <c r="J121" s="8" t="n">
        <v>32</v>
      </c>
      <c r="K121" s="8" t="n">
        <f aca="false">ROUND(J121*$C$2,0)-0.1</f>
        <v>45.9</v>
      </c>
      <c r="L121" s="9" t="n">
        <v>4.36</v>
      </c>
      <c r="M121" s="10" t="n">
        <v>1200000</v>
      </c>
      <c r="N121" s="11" t="s">
        <v>535</v>
      </c>
    </row>
    <row r="122" customFormat="false" ht="46.25" hidden="false" customHeight="false" outlineLevel="0" collapsed="false">
      <c r="A122" s="6" t="n">
        <v>118</v>
      </c>
      <c r="B122" s="6" t="s">
        <v>536</v>
      </c>
      <c r="C122" s="6" t="s">
        <v>537</v>
      </c>
      <c r="D122" s="7" t="n">
        <v>2010</v>
      </c>
      <c r="E122" s="6" t="s">
        <v>159</v>
      </c>
      <c r="F122" s="6" t="s">
        <v>49</v>
      </c>
      <c r="G122" s="6" t="s">
        <v>40</v>
      </c>
      <c r="H122" s="6" t="s">
        <v>22</v>
      </c>
      <c r="I122" s="6" t="s">
        <v>538</v>
      </c>
      <c r="J122" s="8" t="n">
        <v>31</v>
      </c>
      <c r="K122" s="8" t="n">
        <f aca="false">ROUND(J122*$C$2,0)-0.1</f>
        <v>44.9</v>
      </c>
      <c r="L122" s="9" t="n">
        <v>4.1</v>
      </c>
      <c r="M122" s="10" t="n">
        <v>800000</v>
      </c>
      <c r="N122" s="11" t="s">
        <v>539</v>
      </c>
    </row>
    <row r="123" customFormat="false" ht="46.25" hidden="false" customHeight="false" outlineLevel="0" collapsed="false">
      <c r="A123" s="6" t="n">
        <v>119</v>
      </c>
      <c r="B123" s="6" t="s">
        <v>540</v>
      </c>
      <c r="C123" s="6" t="s">
        <v>541</v>
      </c>
      <c r="D123" s="7" t="n">
        <v>1966</v>
      </c>
      <c r="E123" s="6" t="s">
        <v>67</v>
      </c>
      <c r="F123" s="6" t="s">
        <v>108</v>
      </c>
      <c r="G123" s="6" t="s">
        <v>40</v>
      </c>
      <c r="H123" s="6" t="s">
        <v>22</v>
      </c>
      <c r="I123" s="6" t="s">
        <v>542</v>
      </c>
      <c r="J123" s="8" t="n">
        <v>27</v>
      </c>
      <c r="K123" s="8" t="n">
        <f aca="false">ROUND(J123*$C$2,0)-0.1</f>
        <v>38.9</v>
      </c>
      <c r="L123" s="9" t="n">
        <v>4.09</v>
      </c>
      <c r="M123" s="10" t="n">
        <v>700000</v>
      </c>
      <c r="N123" s="11" t="s">
        <v>543</v>
      </c>
    </row>
    <row r="124" customFormat="false" ht="46.25" hidden="false" customHeight="false" outlineLevel="0" collapsed="false">
      <c r="A124" s="6" t="n">
        <v>120</v>
      </c>
      <c r="B124" s="6" t="s">
        <v>544</v>
      </c>
      <c r="C124" s="6" t="s">
        <v>545</v>
      </c>
      <c r="D124" s="7" t="n">
        <v>1994</v>
      </c>
      <c r="E124" s="6" t="s">
        <v>153</v>
      </c>
      <c r="F124" s="6" t="s">
        <v>425</v>
      </c>
      <c r="G124" s="6" t="s">
        <v>21</v>
      </c>
      <c r="H124" s="6" t="s">
        <v>35</v>
      </c>
      <c r="I124" s="6" t="s">
        <v>546</v>
      </c>
      <c r="J124" s="8" t="n">
        <v>34</v>
      </c>
      <c r="K124" s="8" t="n">
        <f aca="false">ROUND(J124*$C$2,0)-0.1</f>
        <v>48.9</v>
      </c>
      <c r="L124" s="9" t="n">
        <v>4.33</v>
      </c>
      <c r="M124" s="10" t="n">
        <v>120000</v>
      </c>
      <c r="N124" s="11" t="s">
        <v>547</v>
      </c>
    </row>
    <row r="125" customFormat="false" ht="46.25" hidden="false" customHeight="false" outlineLevel="0" collapsed="false">
      <c r="A125" s="6" t="n">
        <v>121</v>
      </c>
      <c r="B125" s="6" t="s">
        <v>548</v>
      </c>
      <c r="C125" s="6" t="s">
        <v>549</v>
      </c>
      <c r="D125" s="7" t="n">
        <v>1965</v>
      </c>
      <c r="E125" s="6" t="s">
        <v>153</v>
      </c>
      <c r="F125" s="6" t="s">
        <v>93</v>
      </c>
      <c r="G125" s="6" t="s">
        <v>40</v>
      </c>
      <c r="H125" s="6" t="s">
        <v>35</v>
      </c>
      <c r="I125" s="6" t="s">
        <v>550</v>
      </c>
      <c r="J125" s="8" t="n">
        <v>30</v>
      </c>
      <c r="K125" s="8" t="n">
        <f aca="false">ROUND(J125*$C$2,0)-0.1</f>
        <v>43.9</v>
      </c>
      <c r="L125" s="9" t="n">
        <v>4.34</v>
      </c>
      <c r="M125" s="10" t="n">
        <v>230000</v>
      </c>
      <c r="N125" s="11" t="s">
        <v>551</v>
      </c>
    </row>
    <row r="126" customFormat="false" ht="46.25" hidden="false" customHeight="false" outlineLevel="0" collapsed="false">
      <c r="A126" s="6" t="n">
        <v>122</v>
      </c>
      <c r="B126" s="6" t="s">
        <v>552</v>
      </c>
      <c r="C126" s="6" t="s">
        <v>553</v>
      </c>
      <c r="D126" s="7" t="n">
        <v>1969</v>
      </c>
      <c r="E126" s="6" t="s">
        <v>153</v>
      </c>
      <c r="F126" s="6" t="s">
        <v>269</v>
      </c>
      <c r="G126" s="6" t="s">
        <v>40</v>
      </c>
      <c r="H126" s="6" t="s">
        <v>22</v>
      </c>
      <c r="I126" s="6" t="s">
        <v>554</v>
      </c>
      <c r="J126" s="8" t="n">
        <v>26</v>
      </c>
      <c r="K126" s="8" t="n">
        <f aca="false">ROUND(J126*$C$2,0)-0.1</f>
        <v>37.9</v>
      </c>
      <c r="L126" s="9" t="n">
        <v>4.24</v>
      </c>
      <c r="M126" s="10" t="n">
        <v>600000</v>
      </c>
      <c r="N126" s="11" t="s">
        <v>555</v>
      </c>
    </row>
    <row r="127" customFormat="false" ht="46.25" hidden="false" customHeight="false" outlineLevel="0" collapsed="false">
      <c r="A127" s="6" t="n">
        <v>123</v>
      </c>
      <c r="B127" s="6" t="s">
        <v>556</v>
      </c>
      <c r="C127" s="6" t="s">
        <v>557</v>
      </c>
      <c r="D127" s="7" t="n">
        <v>1949</v>
      </c>
      <c r="E127" s="6" t="s">
        <v>178</v>
      </c>
      <c r="F127" s="6" t="s">
        <v>148</v>
      </c>
      <c r="G127" s="6" t="s">
        <v>21</v>
      </c>
      <c r="H127" s="6" t="s">
        <v>35</v>
      </c>
      <c r="I127" s="6" t="s">
        <v>558</v>
      </c>
      <c r="J127" s="8" t="n">
        <v>37</v>
      </c>
      <c r="K127" s="8" t="n">
        <f aca="false">ROUND(J127*$C$2,0)-0.1</f>
        <v>53.9</v>
      </c>
      <c r="L127" s="9" t="n">
        <v>4.26</v>
      </c>
      <c r="M127" s="10" t="n">
        <v>90000</v>
      </c>
      <c r="N127" s="11" t="s">
        <v>559</v>
      </c>
    </row>
  </sheetData>
  <autoFilter ref="A4:N1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4" min="3" style="0" width="16"/>
    <col collapsed="false" customWidth="true" hidden="false" outlineLevel="0" max="5" min="5" style="0" width="14"/>
  </cols>
  <sheetData>
    <row r="1" customFormat="false" ht="17.35" hidden="false" customHeight="false" outlineLevel="0" collapsed="false">
      <c r="A1" s="1" t="s">
        <v>560</v>
      </c>
    </row>
    <row r="3" customFormat="false" ht="23.85" hidden="false" customHeight="false" outlineLevel="0" collapsed="false">
      <c r="A3" s="12" t="s">
        <v>7</v>
      </c>
      <c r="B3" s="12" t="s">
        <v>561</v>
      </c>
      <c r="C3" s="12" t="s">
        <v>562</v>
      </c>
      <c r="D3" s="12" t="s">
        <v>563</v>
      </c>
      <c r="E3" s="12" t="s">
        <v>14</v>
      </c>
    </row>
    <row r="4" customFormat="false" ht="15" hidden="false" customHeight="false" outlineLevel="0" collapsed="false">
      <c r="A4" s="13" t="s">
        <v>19</v>
      </c>
      <c r="B4" s="14" t="n">
        <f aca="false">COUNTIF(Books!$E$5:$E$127,A4)</f>
        <v>45</v>
      </c>
      <c r="C4" s="15" t="n">
        <f aca="false">AVERAGEIF(Books!$E$5:$E$127,A4,Books!$J$5:$J$127)</f>
        <v>26.7555555555556</v>
      </c>
      <c r="D4" s="15" t="n">
        <f aca="false">AVERAGEIF(Books!$E$5:$E$127,A4,Books!$K$5:$K$127)</f>
        <v>38.8777777777778</v>
      </c>
      <c r="E4" s="16" t="n">
        <f aca="false">AVERAGEIF(Books!$E$5:$E$127,A4,Books!$L$5:$L$127)</f>
        <v>3.968</v>
      </c>
    </row>
    <row r="5" customFormat="false" ht="15" hidden="false" customHeight="false" outlineLevel="0" collapsed="false">
      <c r="A5" s="13" t="s">
        <v>67</v>
      </c>
      <c r="B5" s="14" t="n">
        <f aca="false">COUNTIF(Books!$E$5:$E$127,A5)</f>
        <v>10</v>
      </c>
      <c r="C5" s="15" t="n">
        <f aca="false">AVERAGEIF(Books!$E$5:$E$127,A5,Books!$J$5:$J$127)</f>
        <v>27</v>
      </c>
      <c r="D5" s="15" t="n">
        <f aca="false">AVERAGEIF(Books!$E$5:$E$127,A5,Books!$K$5:$K$127)</f>
        <v>39.1</v>
      </c>
      <c r="E5" s="16" t="n">
        <f aca="false">AVERAGEIF(Books!$E$5:$E$127,A5,Books!$L$5:$L$127)</f>
        <v>4.137</v>
      </c>
    </row>
    <row r="6" customFormat="false" ht="15" hidden="false" customHeight="false" outlineLevel="0" collapsed="false">
      <c r="A6" s="13" t="s">
        <v>92</v>
      </c>
      <c r="B6" s="14" t="n">
        <f aca="false">COUNTIF(Books!$E$5:$E$127,A6)</f>
        <v>9</v>
      </c>
      <c r="C6" s="15" t="n">
        <f aca="false">AVERAGEIF(Books!$E$5:$E$127,A6,Books!$J$5:$J$127)</f>
        <v>27.3333333333333</v>
      </c>
      <c r="D6" s="15" t="n">
        <f aca="false">AVERAGEIF(Books!$E$5:$E$127,A6,Books!$K$5:$K$127)</f>
        <v>39.5666666666667</v>
      </c>
      <c r="E6" s="16" t="n">
        <f aca="false">AVERAGEIF(Books!$E$5:$E$127,A6,Books!$L$5:$L$127)</f>
        <v>4.13888888888889</v>
      </c>
    </row>
    <row r="7" customFormat="false" ht="15" hidden="false" customHeight="false" outlineLevel="0" collapsed="false">
      <c r="A7" s="13" t="s">
        <v>178</v>
      </c>
      <c r="B7" s="14" t="n">
        <f aca="false">COUNTIF(Books!$E$5:$E$127,A7)</f>
        <v>8</v>
      </c>
      <c r="C7" s="15" t="n">
        <f aca="false">AVERAGEIF(Books!$E$5:$E$127,A7,Books!$J$5:$J$127)</f>
        <v>29.5</v>
      </c>
      <c r="D7" s="15" t="n">
        <f aca="false">AVERAGEIF(Books!$E$5:$E$127,A7,Books!$K$5:$K$127)</f>
        <v>42.65</v>
      </c>
      <c r="E7" s="16" t="n">
        <f aca="false">AVERAGEIF(Books!$E$5:$E$127,A7,Books!$L$5:$L$127)</f>
        <v>4.165</v>
      </c>
    </row>
    <row r="8" customFormat="false" ht="15" hidden="false" customHeight="false" outlineLevel="0" collapsed="false">
      <c r="A8" s="13" t="s">
        <v>147</v>
      </c>
      <c r="B8" s="14" t="n">
        <f aca="false">COUNTIF(Books!$E$5:$E$127,A8)</f>
        <v>8</v>
      </c>
      <c r="C8" s="15" t="n">
        <f aca="false">AVERAGEIF(Books!$E$5:$E$127,A8,Books!$J$5:$J$127)</f>
        <v>32.75</v>
      </c>
      <c r="D8" s="15" t="n">
        <f aca="false">AVERAGEIF(Books!$E$5:$E$127,A8,Books!$K$5:$K$127)</f>
        <v>47.4</v>
      </c>
      <c r="E8" s="16" t="n">
        <f aca="false">AVERAGEIF(Books!$E$5:$E$127,A8,Books!$L$5:$L$127)</f>
        <v>4.03625</v>
      </c>
    </row>
    <row r="9" customFormat="false" ht="15" hidden="false" customHeight="false" outlineLevel="0" collapsed="false">
      <c r="A9" s="13" t="s">
        <v>159</v>
      </c>
      <c r="B9" s="14" t="n">
        <f aca="false">COUNTIF(Books!$E$5:$E$127,A9)</f>
        <v>8</v>
      </c>
      <c r="C9" s="15" t="n">
        <f aca="false">AVERAGEIF(Books!$E$5:$E$127,A9,Books!$J$5:$J$127)</f>
        <v>31.75</v>
      </c>
      <c r="D9" s="15" t="n">
        <f aca="false">AVERAGEIF(Books!$E$5:$E$127,A9,Books!$K$5:$K$127)</f>
        <v>46.275</v>
      </c>
      <c r="E9" s="16" t="n">
        <f aca="false">AVERAGEIF(Books!$E$5:$E$127,A9,Books!$L$5:$L$127)</f>
        <v>4.155</v>
      </c>
    </row>
    <row r="10" customFormat="false" ht="15" hidden="false" customHeight="false" outlineLevel="0" collapsed="false">
      <c r="A10" s="13" t="s">
        <v>153</v>
      </c>
      <c r="B10" s="14" t="n">
        <f aca="false">COUNTIF(Books!$E$5:$E$127,A10)</f>
        <v>6</v>
      </c>
      <c r="C10" s="15" t="n">
        <f aca="false">AVERAGEIF(Books!$E$5:$E$127,A10,Books!$J$5:$J$127)</f>
        <v>27.8333333333333</v>
      </c>
      <c r="D10" s="15" t="n">
        <f aca="false">AVERAGEIF(Books!$E$5:$E$127,A10,Books!$K$5:$K$127)</f>
        <v>40.4</v>
      </c>
      <c r="E10" s="16" t="n">
        <f aca="false">AVERAGEIF(Books!$E$5:$E$127,A10,Books!$L$5:$L$127)</f>
        <v>4.31833333333333</v>
      </c>
    </row>
    <row r="11" customFormat="false" ht="15" hidden="false" customHeight="false" outlineLevel="0" collapsed="false">
      <c r="A11" s="13" t="s">
        <v>107</v>
      </c>
      <c r="B11" s="14" t="n">
        <f aca="false">COUNTIF(Books!$E$5:$E$127,A11)</f>
        <v>6</v>
      </c>
      <c r="C11" s="15" t="n">
        <f aca="false">AVERAGEIF(Books!$E$5:$E$127,A11,Books!$J$5:$J$127)</f>
        <v>31</v>
      </c>
      <c r="D11" s="15" t="n">
        <f aca="false">AVERAGEIF(Books!$E$5:$E$127,A11,Books!$K$5:$K$127)</f>
        <v>44.9</v>
      </c>
      <c r="E11" s="16" t="n">
        <f aca="false">AVERAGEIF(Books!$E$5:$E$127,A11,Books!$L$5:$L$127)</f>
        <v>4.38166666666667</v>
      </c>
    </row>
    <row r="12" customFormat="false" ht="15" hidden="false" customHeight="false" outlineLevel="0" collapsed="false">
      <c r="A12" s="13" t="s">
        <v>127</v>
      </c>
      <c r="B12" s="14" t="n">
        <f aca="false">COUNTIF(Books!$E$5:$E$127,A12)</f>
        <v>6</v>
      </c>
      <c r="C12" s="15" t="n">
        <f aca="false">AVERAGEIF(Books!$E$5:$E$127,A12,Books!$J$5:$J$127)</f>
        <v>24.3333333333333</v>
      </c>
      <c r="D12" s="15" t="n">
        <f aca="false">AVERAGEIF(Books!$E$5:$E$127,A12,Books!$K$5:$K$127)</f>
        <v>35.0666666666667</v>
      </c>
      <c r="E12" s="16" t="n">
        <f aca="false">AVERAGEIF(Books!$E$5:$E$127,A12,Books!$L$5:$L$127)</f>
        <v>3.99833333333333</v>
      </c>
    </row>
    <row r="13" customFormat="false" ht="15" hidden="false" customHeight="false" outlineLevel="0" collapsed="false">
      <c r="A13" s="13" t="s">
        <v>207</v>
      </c>
      <c r="B13" s="14" t="n">
        <f aca="false">COUNTIF(Books!$E$5:$E$127,A13)</f>
        <v>4</v>
      </c>
      <c r="C13" s="15" t="n">
        <f aca="false">AVERAGEIF(Books!$E$5:$E$127,A13,Books!$J$5:$J$127)</f>
        <v>20.5</v>
      </c>
      <c r="D13" s="15" t="n">
        <f aca="false">AVERAGEIF(Books!$E$5:$E$127,A13,Books!$K$5:$K$127)</f>
        <v>29.65</v>
      </c>
      <c r="E13" s="16" t="n">
        <f aca="false">AVERAGEIF(Books!$E$5:$E$127,A13,Books!$L$5:$L$127)</f>
        <v>4.27</v>
      </c>
    </row>
    <row r="14" customFormat="false" ht="15" hidden="false" customHeight="false" outlineLevel="0" collapsed="false">
      <c r="A14" s="13" t="s">
        <v>164</v>
      </c>
      <c r="B14" s="14" t="n">
        <f aca="false">COUNTIF(Books!$E$5:$E$127,A14)</f>
        <v>4</v>
      </c>
      <c r="C14" s="15" t="n">
        <f aca="false">AVERAGEIF(Books!$E$5:$E$127,A14,Books!$J$5:$J$127)</f>
        <v>21.75</v>
      </c>
      <c r="D14" s="15" t="n">
        <f aca="false">AVERAGEIF(Books!$E$5:$E$127,A14,Books!$K$5:$K$127)</f>
        <v>31.4</v>
      </c>
      <c r="E14" s="16" t="n">
        <f aca="false">AVERAGEIF(Books!$E$5:$E$127,A14,Books!$L$5:$L$127)</f>
        <v>4.1125</v>
      </c>
    </row>
    <row r="15" customFormat="false" ht="15" hidden="false" customHeight="false" outlineLevel="0" collapsed="false">
      <c r="A15" s="13" t="s">
        <v>136</v>
      </c>
      <c r="B15" s="14" t="n">
        <f aca="false">COUNTIF(Books!$E$5:$E$127,A15)</f>
        <v>4</v>
      </c>
      <c r="C15" s="15" t="n">
        <f aca="false">AVERAGEIF(Books!$E$5:$E$127,A15,Books!$J$5:$J$127)</f>
        <v>24</v>
      </c>
      <c r="D15" s="15" t="n">
        <f aca="false">AVERAGEIF(Books!$E$5:$E$127,A15,Books!$K$5:$K$127)</f>
        <v>34.65</v>
      </c>
      <c r="E15" s="16" t="n">
        <f aca="false">AVERAGEIF(Books!$E$5:$E$127,A15,Books!$L$5:$L$127)</f>
        <v>4.085</v>
      </c>
    </row>
    <row r="16" customFormat="false" ht="15" hidden="false" customHeight="false" outlineLevel="0" collapsed="false">
      <c r="A16" s="13" t="s">
        <v>197</v>
      </c>
      <c r="B16" s="14" t="n">
        <f aca="false">COUNTIF(Books!$E$5:$E$127,A16)</f>
        <v>3</v>
      </c>
      <c r="C16" s="15" t="n">
        <f aca="false">AVERAGEIF(Books!$E$5:$E$127,A16,Books!$J$5:$J$127)</f>
        <v>28.6666666666667</v>
      </c>
      <c r="D16" s="15" t="n">
        <f aca="false">AVERAGEIF(Books!$E$5:$E$127,A16,Books!$K$5:$K$127)</f>
        <v>41.5666666666667</v>
      </c>
      <c r="E16" s="16" t="n">
        <f aca="false">AVERAGEIF(Books!$E$5:$E$127,A16,Books!$L$5:$L$127)</f>
        <v>4.06666666666667</v>
      </c>
    </row>
    <row r="17" customFormat="false" ht="15" hidden="false" customHeight="false" outlineLevel="0" collapsed="false">
      <c r="A17" s="13" t="s">
        <v>455</v>
      </c>
      <c r="B17" s="14" t="n">
        <f aca="false">COUNTIF(Books!$E$5:$E$127,A17)</f>
        <v>2</v>
      </c>
      <c r="C17" s="15" t="n">
        <f aca="false">AVERAGEIF(Books!$E$5:$E$127,A17,Books!$J$5:$J$127)</f>
        <v>28.5</v>
      </c>
      <c r="D17" s="15" t="n">
        <f aca="false">AVERAGEIF(Books!$E$5:$E$127,A17,Books!$K$5:$K$127)</f>
        <v>41.4</v>
      </c>
      <c r="E17" s="16" t="n">
        <f aca="false">AVERAGEIF(Books!$E$5:$E$127,A17,Books!$L$5:$L$127)</f>
        <v>4.36</v>
      </c>
    </row>
    <row r="18" customFormat="false" ht="15" hidden="false" customHeight="false" outlineLevel="0" collapsed="false">
      <c r="A18" s="17" t="s">
        <v>564</v>
      </c>
      <c r="B18" s="17" t="n">
        <f aca="false">SUM(B4:B17)</f>
        <v>123</v>
      </c>
      <c r="C18" s="18" t="n">
        <f aca="false">AVERAGE(Books!$J$5:$J$127)</f>
        <v>27.4715447154472</v>
      </c>
      <c r="D18" s="18" t="n">
        <f aca="false">AVERAGE(Books!$K$5:$K$127)</f>
        <v>39.8349593495935</v>
      </c>
      <c r="E18" s="19" t="n">
        <f aca="false">AVERAGE(Books!$L$5:$L$127)</f>
        <v>4.08951219512195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565</v>
      </c>
    </row>
    <row r="2" customFormat="false" ht="15" hidden="false" customHeight="false" outlineLevel="0" collapsed="false">
      <c r="A2" s="2"/>
    </row>
    <row r="3" customFormat="false" ht="15" hidden="false" customHeight="false" outlineLevel="0" collapsed="false">
      <c r="A3" s="2" t="s">
        <v>566</v>
      </c>
    </row>
    <row r="4" customFormat="false" ht="15" hidden="false" customHeight="false" outlineLevel="0" collapsed="false">
      <c r="A4" s="2" t="s">
        <v>567</v>
      </c>
    </row>
    <row r="5" customFormat="false" ht="15" hidden="false" customHeight="false" outlineLevel="0" collapsed="false">
      <c r="A5" s="2" t="s">
        <v>568</v>
      </c>
    </row>
    <row r="6" customFormat="false" ht="15" hidden="false" customHeight="false" outlineLevel="0" collapsed="false">
      <c r="A6" s="2" t="s">
        <v>569</v>
      </c>
    </row>
    <row r="7" customFormat="false" ht="15" hidden="false" customHeight="false" outlineLevel="0" collapsed="false">
      <c r="A7" s="2" t="s">
        <v>570</v>
      </c>
    </row>
    <row r="8" customFormat="false" ht="15" hidden="false" customHeight="false" outlineLevel="0" collapsed="false">
      <c r="A8" s="2" t="s">
        <v>571</v>
      </c>
    </row>
    <row r="9" customFormat="false" ht="15" hidden="false" customHeight="false" outlineLevel="0" collapsed="false">
      <c r="A9" s="2" t="s">
        <v>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2026-10-10T11:48:45Z</dcterms:created>
  <dc:creator>openpyxl</dc:creator>
  <dc:description/>
  <dc:language>en-US</dc:language>
  <cp:lastModifiedBy/>
  <dcterms:modified xsi:type="dcterms:W3CDTF">2026-10-10T11:48:45Z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